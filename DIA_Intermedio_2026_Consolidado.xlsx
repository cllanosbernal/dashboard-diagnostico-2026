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cf3571e4b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026c5d3f9aa4414"/>
    <x:sheet xmlns:r="http://schemas.openxmlformats.org/officeDocument/2006/relationships" name="Cursos" sheetId="2" r:id="Rad5c816cfe07482c"/>
    <x:sheet xmlns:r="http://schemas.openxmlformats.org/officeDocument/2006/relationships" name="Indicadores" sheetId="3" r:id="Rd983051889994473"/>
    <x:sheet xmlns:r="http://schemas.openxmlformats.org/officeDocument/2006/relationships" name="Resumen por nivel" sheetId="4" r:id="R801152a2e0924921"/>
    <x:sheet xmlns:r="http://schemas.openxmlformats.org/officeDocument/2006/relationships" name="Aplicación" sheetId="5" r:id="R5913afb314ec44d8"/>
    <x:sheet xmlns:r="http://schemas.openxmlformats.org/officeDocument/2006/relationships" name="Metodología" sheetId="6" r:id="R7413cdc3097e4c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&quot;%&quot;"/>
    <x:numFmt numFmtId="202" formatCode="0.0%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0"/>
      <x:color rgb="FFE2E8F0"/>
      <x:name val="Carlito"/>
    </x:font>
    <x:font>
      <x:b/>
      <x:sz val="20"/>
      <x:color rgb="FF0F172A"/>
      <x:name val="Carlito"/>
    </x:font>
    <x:font>
      <x:b/>
      <x:sz val="11"/>
      <x:color rgb="FF0EA5E9"/>
      <x:name val="Carlito"/>
    </x:font>
    <x:font>
      <x:b/>
      <x:sz val="11"/>
      <x:color rgb="FFF59E0B"/>
      <x:name val="Carlito"/>
    </x:font>
    <x:font>
      <x:b/>
      <x:sz val="11"/>
      <x:color rgb="FF10B981"/>
      <x:name val="Carlito"/>
    </x:font>
    <x:font>
      <x:b/>
      <x:sz val="11"/>
      <x:color rgb="FF8B5CF6"/>
      <x:name val="Carlito"/>
    </x:font>
    <x:font>
      <x:i/>
      <x:sz val="10"/>
      <x:color rgb="FF64748B"/>
      <x:name val="Carlito"/>
    </x:font>
    <x:font>
      <x:b/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1F5F9"/>
      </x:patternFill>
    </x:fill>
    <x:fill>
      <x:patternFill patternType="solid">
        <x:fgColor rgb="FF10B981"/>
      </x:patternFill>
    </x:fill>
  </x:fills>
  <x:borders count="17">
    <x:border/>
    <x:border>
      <x:right style="thin">
        <x:color rgb="FF64748B"/>
      </x:right>
    </x:border>
    <x:border>
      <x:left style="thin">
        <x:color rgb="FF64748B"/>
      </x:left>
      <x:right style="thin">
        <x:color rgb="FF64748B"/>
      </x:right>
    </x:border>
    <x:border>
      <x:left style="thin">
        <x:color rgb="FF64748B"/>
      </x:left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64748B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64748B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64748B"/>
      </x:right>
      <x:top style="thin">
        <x:color rgb="FFCBD5E1"/>
      </x:top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horizontal="center"/>
    </x:xf>
    <x:xf numFmtId="0" fontId="4" fillId="4" borderId="9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7" xfId="0" applyNumberFormat="1" applyFont="1" applyFill="1" applyBorder="1" applyAlignment="1">
      <x:alignment horizontal="center" vertical="center"/>
    </x:xf>
    <x:xf numFmtId="200" fontId="4" fillId="4" borderId="8" xfId="0" applyNumberFormat="1" applyFont="1" applyFill="1" applyBorder="1" applyAlignment="1">
      <x:alignment horizontal="center" vertical="center"/>
    </x:xf>
    <x:xf numFmtId="201" fontId="4" fillId="4" borderId="5" xfId="0" applyNumberFormat="1" applyFont="1" applyFill="1" applyBorder="1" applyAlignment="1">
      <x:alignment horizontal="center" vertical="center"/>
    </x:xf>
    <x:xf numFmtId="201" fontId="4" fillId="4" borderId="8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200" fontId="4" fillId="4" borderId="9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1" fillId="2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/>
    <x:xf numFmtId="200" fontId="0" fillId="0" borderId="13" xfId="0" applyNumberFormat="1" applyFont="1" applyFill="1" applyBorder="1"/>
    <x:xf numFmtId="201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6" fillId="0" borderId="12" xfId="0" applyNumberFormat="1" applyFont="1" applyFill="1" applyBorder="1"/>
    <x:xf numFmtId="0" fontId="7" fillId="0" borderId="12" xfId="0" applyNumberFormat="1" applyFont="1" applyFill="1" applyBorder="1"/>
    <x:xf numFmtId="0" fontId="8" fillId="0" borderId="6" xfId="0" applyNumberFormat="1" applyFont="1" applyFill="1" applyBorder="1"/>
    <x:xf numFmtId="200" fontId="0" fillId="0" borderId="15" xfId="0" applyNumberFormat="1" applyFont="1" applyFill="1" applyBorder="1"/>
    <x:xf numFmtId="201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13" xfId="0" applyNumberFormat="1" applyFont="1" applyFill="1" applyBorder="1"/>
    <x:xf numFmtId="0" fontId="9" fillId="5" borderId="13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9acfa60b6b49bd" /><Relationship Type="http://schemas.openxmlformats.org/officeDocument/2006/relationships/theme" Target="/xl/theme/theme1.xml" Id="Ra1257db58f664b00" /><Relationship Type="http://schemas.microsoft.com/office/2022/11/relationships/FeaturePropertyBag" Target="/xl/featurePropertyBag/featurePropertyBag.xml" Id="R7b28cd067dbc4828" /><Relationship Type="http://schemas.openxmlformats.org/officeDocument/2006/relationships/sharedStrings" Target="/xl/sharedStrings.xml" Id="R3902b458b74f48d6" /><Relationship Type="http://schemas.openxmlformats.org/officeDocument/2006/relationships/worksheet" Target="/xl/worksheets/sheet1.xml" Id="Ra026c5d3f9aa4414" /><Relationship Type="http://schemas.openxmlformats.org/officeDocument/2006/relationships/worksheet" Target="/xl/worksheets/sheet2.xml" Id="Rad5c816cfe07482c" /><Relationship Type="http://schemas.openxmlformats.org/officeDocument/2006/relationships/worksheet" Target="/xl/worksheets/sheet3.xml" Id="Rd983051889994473" /><Relationship Type="http://schemas.openxmlformats.org/officeDocument/2006/relationships/worksheet" Target="/xl/worksheets/sheet4.xml" Id="R801152a2e0924921" /><Relationship Type="http://schemas.openxmlformats.org/officeDocument/2006/relationships/worksheet" Target="/xl/worksheets/sheet5.xml" Id="R5913afb314ec44d8" /><Relationship Type="http://schemas.openxmlformats.org/officeDocument/2006/relationships/worksheet" Target="/xl/worksheets/sheet6.xml" Id="R7413cdc3097e4c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c25e460fb145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Resultados DIA Intermedio 2026 por área (%)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Promedio</c:v>
          </c:tx>
          <c:cat>
            <c:strRef>
              <c:f>'Resumen'!$J$27:$J$30</c:f>
              <c:strCache>
                <c:ptCount val="0"/>
              </c:strCache>
            </c:strRef>
          </c:cat>
          <c:val>
            <c:numRef>
              <c:f>'Resumen'!$K$27:$K$30</c:f>
              <c:numCache>
                <c:formatCode>0.0"%"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&quot;%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c25e460fb1457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ursosIntermedio" displayName="CursosIntermedio" ref="A1:N106" headerRowCount="1" totalsRowCount="0" totalsRowShown="0">
  <x:tableColumns count="14">
    <x:tableColumn id="1" name="Área"/>
    <x:tableColumn id="2" name="Ciclo"/>
    <x:tableColumn id="3" name="Nivel"/>
    <x:tableColumn id="4" name="Curso"/>
    <x:tableColumn id="5" name="Estudiantes"/>
    <x:tableColumn id="6" name="Diagnóstico 2026"/>
    <x:tableColumn id="7" name="Intermedio 2026"/>
    <x:tableColumn id="8" name="Variación"/>
    <x:tableColumn id="9" name="Logro"/>
    <x:tableColumn id="10" name="Indicador mayor"/>
    <x:tableColumn id="11" name="% mayor"/>
    <x:tableColumn id="12" name="Indicador menor"/>
    <x:tableColumn id="13" name="% menor"/>
    <x:tableColumn id="14" name="Fu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dicadoresIntermedio" displayName="IndicadoresIntermedio" ref="A1:H386" headerRowCount="1" totalsRowCount="0" totalsRowShown="0">
  <x:tableColumns count="8">
    <x:tableColumn id="1" name="Área"/>
    <x:tableColumn id="2" name="Ciclo"/>
    <x:tableColumn id="3" name="Nivel"/>
    <x:tableColumn id="4" name="Curso"/>
    <x:tableColumn id="5" name="Indicador / eje"/>
    <x:tableColumn id="6" name="Promedio"/>
    <x:tableColumn id="7" name="Logro"/>
    <x:tableColumn id="8" name="Fuent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sumenNivel" displayName="ResumenNivel" ref="A1:G29" headerRowCount="1" totalsRowCount="0" totalsRowShown="0">
  <x:tableColumns count="7">
    <x:tableColumn id="1" name="Área"/>
    <x:tableColumn id="2" name="Ciclo"/>
    <x:tableColumn id="3" name="Nivel"/>
    <x:tableColumn id="4" name="Cursos"/>
    <x:tableColumn id="5" name="Rendiciones"/>
    <x:tableColumn id="6" name="Promedio"/>
    <x:tableColumn id="7" name="Logro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AvanceAplicacion" displayName="AvanceAplicacion" ref="A1:J221" headerRowCount="1" totalsRowCount="0" totalsRowShown="0">
  <x:tableColumns count="10">
    <x:tableColumn id="1" name="Ciclo"/>
    <x:tableColumn id="2" name="Nivel"/>
    <x:tableColumn id="3" name="Curso"/>
    <x:tableColumn id="4" name="Área"/>
    <x:tableColumn id="5" name="Matrícula"/>
    <x:tableColumn id="6" name="Asignados"/>
    <x:tableColumn id="7" name="Rindieron"/>
    <x:tableColumn id="8" name="Cobertura"/>
    <x:tableColumn id="9" name="Informe generado"/>
    <x:tableColumn id="10" name="Acción pend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26e4ab473845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6b440897104a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dc45d991164c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c48e8ea9dc40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7cbb2619d841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17" t="str">
        <x:v>DIA Monitoreo Intermedio 2026 — Resumen consolidado</x:v>
      </x:c>
    </x:row>
    <x:row r="2" ht="28" customHeight="1">
      <x:c r="A2" s="20" t="str">
        <x:v>Complejo Educacional Maipú · RBD 9959 · Resultados descargados el 28-08-2026 · Sin datos personales</x:v>
      </x:c>
    </x:row>
    <x:row r="4">
      <x:c r="A4" s="21" t="str">
        <x:v>Rendiciones curso-área</x:v>
      </x:c>
      <x:c r="C4" s="21" t="str">
        <x:v>Registros curso-área</x:v>
      </x:c>
      <x:c r="E4" s="21" t="str">
        <x:v>Promedio global</x:v>
      </x:c>
      <x:c r="G4" s="21" t="str">
        <x:v>Informes generados</x:v>
      </x:c>
    </x:row>
    <x:row r="5">
      <x:c r="A5" s="42" t="n">
        <x:f>SUM('Cursos'!E2:E106)</x:f>
        <x:v>3541</x:v>
      </x:c>
      <x:c r="B5" s="43"/>
      <x:c r="C5" s="43" t="n">
        <x:f>COUNTA('Cursos'!A2:A106)</x:f>
        <x:v>105</x:v>
      </x:c>
      <x:c r="D5" s="43"/>
      <x:c r="E5" s="46" t="n">
        <x:f>AVERAGE('Cursos'!G2:G106)</x:f>
        <x:v>46.765714285714274</x:v>
      </x:c>
      <x:c r="F5" s="46"/>
      <x:c r="G5" s="43" t="n">
        <x:f>COUNTIF('Aplicación'!I2:I221,"Sí")</x:f>
        <x:v>173</x:v>
      </x:c>
      <x:c r="H5" s="48"/>
    </x:row>
    <x:row r="6">
      <x:c r="A6" s="44"/>
      <x:c r="B6" s="45"/>
      <x:c r="C6" s="45"/>
      <x:c r="D6" s="45"/>
      <x:c r="E6" s="47"/>
      <x:c r="F6" s="47"/>
      <x:c r="G6" s="45"/>
      <x:c r="H6" s="49"/>
    </x:row>
    <x:row r="9" ht="26" customHeight="1">
      <x:c r="A9" s="54" t="str">
        <x:v>Área</x:v>
      </x:c>
      <x:c r="B9" s="55" t="str">
        <x:v>Cursos</x:v>
      </x:c>
      <x:c r="C9" s="55" t="str">
        <x:v>Rendiciones</x:v>
      </x:c>
      <x:c r="D9" s="55" t="str">
        <x:v>Promedio</x:v>
      </x:c>
      <x:c r="E9" s="56" t="str">
        <x:v>Logro</x:v>
      </x:c>
    </x:row>
    <x:row r="10">
      <x:c r="A10" s="57" t="str">
        <x:v>Lectura</x:v>
      </x:c>
      <x:c r="B10" s="58" t="n">
        <x:f>COUNTIF('Cursos'!$A$2:$A$106,A10)</x:f>
        <x:v>40</x:v>
      </x:c>
      <x:c r="C10" s="58" t="n">
        <x:f>SUMIF('Cursos'!$A$2:$A$106,A10,'Cursos'!$E$2:$E$106)</x:f>
        <x:v>1392</x:v>
      </x:c>
      <x:c r="D10" s="59" t="n">
        <x:f>IF(B10=0,"",SUMIF('Cursos'!$A$2:$A$106,A10,'Cursos'!$G$2:$G$106)/B10)</x:f>
        <x:v>56.88250000000001</x:v>
      </x:c>
      <x:c r="E10" s="60" t="str">
        <x:f>IF(D10&lt;50,"NL",IF(D10&lt;66.7,"PL","L"))</x:f>
        <x:v>PL</x:v>
      </x:c>
    </x:row>
    <x:row r="11">
      <x:c r="A11" s="61" t="str">
        <x:v>Matemática</x:v>
      </x:c>
      <x:c r="B11" s="58" t="n">
        <x:f>COUNTIF('Cursos'!$A$2:$A$106,A11)</x:f>
        <x:v>34</x:v>
      </x:c>
      <x:c r="C11" s="58" t="n">
        <x:f>SUMIF('Cursos'!$A$2:$A$106,A11,'Cursos'!$E$2:$E$106)</x:f>
        <x:v>1171</x:v>
      </x:c>
      <x:c r="D11" s="59" t="n">
        <x:f>IF(B11=0,"",SUMIF('Cursos'!$A$2:$A$106,A11,'Cursos'!$G$2:$G$106)/B11)</x:f>
        <x:v>43.26176470588236</x:v>
      </x:c>
      <x:c r="E11" s="60" t="str">
        <x:f>IF(D11&lt;50,"NL",IF(D11&lt;66.7,"PL","L"))</x:f>
        <x:v>NL</x:v>
      </x:c>
    </x:row>
    <x:row r="12">
      <x:c r="A12" s="62" t="str">
        <x:v>Ciencias Naturales</x:v>
      </x:c>
      <x:c r="B12" s="58" t="n">
        <x:f>COUNTIF('Cursos'!$A$2:$A$106,A12)</x:f>
        <x:v>15</x:v>
      </x:c>
      <x:c r="C12" s="58" t="n">
        <x:f>SUMIF('Cursos'!$A$2:$A$106,A12,'Cursos'!$E$2:$E$106)</x:f>
        <x:v>454</x:v>
      </x:c>
      <x:c r="D12" s="59" t="n">
        <x:f>IF(B12=0,"",SUMIF('Cursos'!$A$2:$A$106,A12,'Cursos'!$G$2:$G$106)/B12)</x:f>
        <x:v>39.319999999999986</x:v>
      </x:c>
      <x:c r="E12" s="60" t="str">
        <x:f>IF(D12&lt;50,"NL",IF(D12&lt;66.7,"PL","L"))</x:f>
        <x:v>NL</x:v>
      </x:c>
    </x:row>
    <x:row r="13">
      <x:c r="A13" s="63" t="str">
        <x:v>Historia y Cs. Sociales</x:v>
      </x:c>
      <x:c r="B13" s="64" t="n">
        <x:f>COUNTIF('Cursos'!$A$2:$A$106,A13)</x:f>
        <x:v>16</x:v>
      </x:c>
      <x:c r="C13" s="64" t="n">
        <x:f>SUMIF('Cursos'!$A$2:$A$106,A13,'Cursos'!$E$2:$E$106)</x:f>
        <x:v>524</x:v>
      </x:c>
      <x:c r="D13" s="65" t="n">
        <x:f>IF(B13=0,"",SUMIF('Cursos'!$A$2:$A$106,A13,'Cursos'!$G$2:$G$106)/B13)</x:f>
        <x:v>35.9</x:v>
      </x:c>
      <x:c r="E13" s="66" t="str">
        <x:f>IF(D13&lt;50,"NL",IF(D13&lt;66.7,"PL","L"))</x:f>
        <x:v>NL</x:v>
      </x:c>
    </x:row>
    <x:row r="16" ht="22" customHeight="1">
      <x:c r="A16" s="71" t="str">
        <x:v>Lectura y Matemática se comparan con el diagnóstico 2026 solo cuando existe el mismo curso en ambos períodos. Ciencias e Historia se incorporan desde el Intermedio. Los porcentajes por curso corresponden al promedio simple de los ejes/indicadores reportados; en 1° Básico Lectura se usa L=100 y NL=0.</x:v>
      </x:c>
    </x:row>
    <x:row r="17" ht="22" customHeight="1"/>
    <x:row r="18" ht="22" customHeight="1"/>
    <x:row r="19" ht="22" customHeight="1"/>
    <x:row r="26">
      <x:c r="J26" t="str">
        <x:v>Área</x:v>
      </x:c>
      <x:c r="K26" t="str">
        <x:v>Promedio</x:v>
      </x:c>
    </x:row>
    <x:row r="27">
      <x:c r="J27" t="str">
        <x:v>Lectura</x:v>
      </x:c>
      <x:c r="K27" s="13" t="n">
        <x:f>D10</x:f>
        <x:v>56.88250000000001</x:v>
      </x:c>
    </x:row>
    <x:row r="28">
      <x:c r="J28" t="str">
        <x:v>Matemática</x:v>
      </x:c>
      <x:c r="K28" s="13" t="n">
        <x:f>D11</x:f>
        <x:v>43.26176470588236</x:v>
      </x:c>
    </x:row>
    <x:row r="29">
      <x:c r="J29" t="str">
        <x:v>Ciencias Naturales</x:v>
      </x:c>
      <x:c r="K29" s="13" t="n">
        <x:f>D12</x:f>
        <x:v>39.319999999999986</x:v>
      </x:c>
    </x:row>
    <x:row r="30">
      <x:c r="J30" t="str">
        <x:v>Historia y Cs. Sociales</x:v>
      </x:c>
      <x:c r="K30" s="13" t="n">
        <x:f>D13</x:f>
        <x:v>35.9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16:H19"/>
  </x:mergeCells>
  <x:conditionalFormatting sqref="D10:D13">
    <x:cfRule type="colorScale" priority="1">
      <x:colorScale>
        <x:cfvo type="min"/>
        <x:cfvo type="percentile" val="50"/>
        <x:cfvo type="max"/>
        <x:color rgb="FFFEE2E2"/>
        <x:color rgb="FFFEF3C7"/>
        <x:color rgb="FFD1FAE5"/>
      </x:colorScale>
    </x:cfRule>
  </x:conditionalFormatting>
  <x:pageMargins left="0.7" right="0.7" top="0.75" bottom="0.75" header="0.3" footer="0.3"/>
  <x:drawing xmlns:r="http://schemas.openxmlformats.org/officeDocument/2006/relationships" r:id="R8326e4ab473845a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5" hidden="0" customWidth="1"/>
    <x:col min="4" max="4" width="10" hidden="0" customWidth="1"/>
    <x:col min="5" max="5" width="12" hidden="0" customWidth="1"/>
    <x:col min="6" max="6" width="15" hidden="0" customWidth="1"/>
    <x:col min="7" max="7" width="15" hidden="0" customWidth="1"/>
    <x:col min="8" max="8" width="12" hidden="0" customWidth="1"/>
    <x:col min="9" max="9" width="9" hidden="0" customWidth="1"/>
    <x:col min="10" max="10" width="28" hidden="0" customWidth="1"/>
    <x:col min="11" max="11" width="10" hidden="0" customWidth="1"/>
    <x:col min="12" max="12" width="28" hidden="0" customWidth="1"/>
    <x:col min="13" max="13" width="10" hidden="0" customWidth="1"/>
    <x:col min="14" max="14" width="48" hidden="0" customWidth="1"/>
  </x:cols>
  <x:sheetData>
    <x:row r="1" ht="26" customHeight="1">
      <x:c r="A1" s="9" t="str">
        <x:v>Área</x:v>
      </x:c>
      <x:c r="B1" s="10" t="str">
        <x:v>Ciclo</x:v>
      </x:c>
      <x:c r="C1" s="10" t="str">
        <x:v>Nivel</x:v>
      </x:c>
      <x:c r="D1" s="10" t="str">
        <x:v>Curso</x:v>
      </x:c>
      <x:c r="E1" s="10" t="str">
        <x:v>Estudiantes</x:v>
      </x:c>
      <x:c r="F1" s="10" t="str">
        <x:v>Diagnóstico 2026</x:v>
      </x:c>
      <x:c r="G1" s="10" t="str">
        <x:v>Intermedio 2026</x:v>
      </x:c>
      <x:c r="H1" s="10" t="str">
        <x:v>Variación</x:v>
      </x:c>
      <x:c r="I1" s="10" t="str">
        <x:v>Logro</x:v>
      </x:c>
      <x:c r="J1" s="10" t="str">
        <x:v>Indicador mayor</x:v>
      </x:c>
      <x:c r="K1" s="10" t="str">
        <x:v>% mayor</x:v>
      </x:c>
      <x:c r="L1" s="10" t="str">
        <x:v>Indicador menor</x:v>
      </x:c>
      <x:c r="M1" s="10" t="str">
        <x:v>% menor</x:v>
      </x:c>
      <x:c r="N1" s="11" t="str">
        <x:v>Fuente</x:v>
      </x:c>
    </x:row>
    <x:row r="2">
      <x:c r="A2" t="str">
        <x:v>Lectura</x:v>
      </x:c>
      <x:c r="B2" t="str">
        <x:v>1° Ciclo</x:v>
      </x:c>
      <x:c r="C2" t="str">
        <x:v>1° Básico</x:v>
      </x:c>
      <x:c r="D2" t="str">
        <x:v>1°A</x:v>
      </x:c>
      <x:c r="E2" s="12" t="n">
        <x:v>42</x:v>
      </x:c>
      <x:c r="F2" s="13"/>
      <x:c r="G2" s="13" t="n">
        <x:v>55.6</x:v>
      </x:c>
      <x:c r="H2" s="13" t="str">
        <x:f>IF(OR(F2="",G2=""),"",G2-F2)</x:f>
      </x:c>
      <x:c r="I2" t="str">
        <x:f>IF(G2&lt;50,"NL",IF(G2&lt;66.7,"PL","L"))</x:f>
        <x:v>PL</x:v>
      </x:c>
      <x:c r="J2" t="str">
        <x:v>Vocales     A, E, U</x:v>
      </x:c>
      <x:c r="K2" s="13" t="n">
        <x:v>76.2</x:v>
      </x:c>
      <x:c r="L2" t="str">
        <x:v>Sílaba final</x:v>
      </x:c>
      <x:c r="M2" s="13" t="n">
        <x:v>23.8</x:v>
      </x:c>
      <x:c r="N2" t="str">
        <x:v>LECTURA__1-A__planilla.xlsx</x:v>
      </x:c>
    </x:row>
    <x:row r="3">
      <x:c r="A3" t="str">
        <x:v>Matemática</x:v>
      </x:c>
      <x:c r="B3" t="str">
        <x:v>1° Ciclo</x:v>
      </x:c>
      <x:c r="C3" t="str">
        <x:v>1° Básico</x:v>
      </x:c>
      <x:c r="D3" t="str">
        <x:v>1°A</x:v>
      </x:c>
      <x:c r="E3" s="12" t="n">
        <x:v>42</x:v>
      </x:c>
      <x:c r="F3" s="13"/>
      <x:c r="G3" s="13" t="n">
        <x:v>65.4</x:v>
      </x:c>
      <x:c r="H3" s="13" t="str">
        <x:f>IF(OR(F3="",G3=""),"",G3-F3)</x:f>
      </x:c>
      <x:c r="I3" t="str">
        <x:f>IF(G3&lt;50,"NL",IF(G3&lt;66.7,"PL","L"))</x:f>
        <x:v>PL</x:v>
      </x:c>
      <x:c r="J3" t="str">
        <x:v>Geometría</x:v>
      </x:c>
      <x:c r="K3" s="13" t="n">
        <x:v>81</x:v>
      </x:c>
      <x:c r="L3" t="str">
        <x:v>Patrones y álgebra</x:v>
      </x:c>
      <x:c r="M3" s="13" t="n">
        <x:v>57.1</x:v>
      </x:c>
      <x:c r="N3" t="str">
        <x:v>MATEMATICA__1-A__planilla.xlsx</x:v>
      </x:c>
    </x:row>
    <x:row r="4">
      <x:c r="A4" t="str">
        <x:v>Lectura</x:v>
      </x:c>
      <x:c r="B4" t="str">
        <x:v>1° Ciclo</x:v>
      </x:c>
      <x:c r="C4" t="str">
        <x:v>1° Básico</x:v>
      </x:c>
      <x:c r="D4" t="str">
        <x:v>1°B</x:v>
      </x:c>
      <x:c r="E4" s="12" t="n">
        <x:v>37</x:v>
      </x:c>
      <x:c r="F4" s="13"/>
      <x:c r="G4" s="13" t="n">
        <x:v>62.8</x:v>
      </x:c>
      <x:c r="H4" s="13" t="str">
        <x:f>IF(OR(F4="",G4=""),"",G4-F4)</x:f>
      </x:c>
      <x:c r="I4" t="str">
        <x:f>IF(G4&lt;50,"NL",IF(G4&lt;66.7,"PL","L"))</x:f>
        <x:v>PL</x:v>
      </x:c>
      <x:c r="J4" t="str">
        <x:v>Vocales     A, E, U</x:v>
      </x:c>
      <x:c r="K4" s="13" t="n">
        <x:v>86.5</x:v>
      </x:c>
      <x:c r="L4" t="str">
        <x:v>Sílaba final</x:v>
      </x:c>
      <x:c r="M4" s="13" t="n">
        <x:v>43.2</x:v>
      </x:c>
      <x:c r="N4" t="str">
        <x:v>LECTURA__1-B__planilla.xlsx</x:v>
      </x:c>
    </x:row>
    <x:row r="5">
      <x:c r="A5" t="str">
        <x:v>Matemática</x:v>
      </x:c>
      <x:c r="B5" t="str">
        <x:v>1° Ciclo</x:v>
      </x:c>
      <x:c r="C5" t="str">
        <x:v>1° Básico</x:v>
      </x:c>
      <x:c r="D5" t="str">
        <x:v>1°B</x:v>
      </x:c>
      <x:c r="E5" s="12" t="n">
        <x:v>37</x:v>
      </x:c>
      <x:c r="F5" s="13"/>
      <x:c r="G5" s="13" t="n">
        <x:v>75.1</x:v>
      </x:c>
      <x:c r="H5" s="13" t="str">
        <x:f>IF(OR(F5="",G5=""),"",G5-F5)</x:f>
      </x:c>
      <x:c r="I5" t="str">
        <x:f>IF(G5&lt;50,"NL",IF(G5&lt;66.7,"PL","L"))</x:f>
        <x:v>L</x:v>
      </x:c>
      <x:c r="J5" t="str">
        <x:v>Geometría</x:v>
      </x:c>
      <x:c r="K5" s="13" t="n">
        <x:v>83.8</x:v>
      </x:c>
      <x:c r="L5" t="str">
        <x:v>Medición</x:v>
      </x:c>
      <x:c r="M5" s="13" t="n">
        <x:v>48.6</x:v>
      </x:c>
      <x:c r="N5" t="str">
        <x:v>MATEMATICA__1-B__planilla.xlsx</x:v>
      </x:c>
    </x:row>
    <x:row r="6">
      <x:c r="A6" t="str">
        <x:v>Lectura</x:v>
      </x:c>
      <x:c r="B6" t="str">
        <x:v>1° Ciclo</x:v>
      </x:c>
      <x:c r="C6" t="str">
        <x:v>1° Básico</x:v>
      </x:c>
      <x:c r="D6" t="str">
        <x:v>1°C</x:v>
      </x:c>
      <x:c r="E6" s="12" t="n">
        <x:v>34</x:v>
      </x:c>
      <x:c r="F6" s="13"/>
      <x:c r="G6" s="13" t="n">
        <x:v>61.1</x:v>
      </x:c>
      <x:c r="H6" s="13" t="str">
        <x:f>IF(OR(F6="",G6=""),"",G6-F6)</x:f>
      </x:c>
      <x:c r="I6" t="str">
        <x:f>IF(G6&lt;50,"NL",IF(G6&lt;66.7,"PL","L"))</x:f>
        <x:v>PL</x:v>
      </x:c>
      <x:c r="J6" t="str">
        <x:v>Vocales     A, E, U</x:v>
      </x:c>
      <x:c r="K6" s="13" t="n">
        <x:v>82.4</x:v>
      </x:c>
      <x:c r="L6" t="str">
        <x:v>Cons.        D, T, N, R</x:v>
      </x:c>
      <x:c r="M6" s="13" t="n">
        <x:v>47.1</x:v>
      </x:c>
      <x:c r="N6" t="str">
        <x:v>LECTURA__1-C__planilla.xlsx</x:v>
      </x:c>
    </x:row>
    <x:row r="7">
      <x:c r="A7" t="str">
        <x:v>Matemática</x:v>
      </x:c>
      <x:c r="B7" t="str">
        <x:v>1° Ciclo</x:v>
      </x:c>
      <x:c r="C7" t="str">
        <x:v>1° Básico</x:v>
      </x:c>
      <x:c r="D7" t="str">
        <x:v>1°C</x:v>
      </x:c>
      <x:c r="E7" s="12" t="n">
        <x:v>35</x:v>
      </x:c>
      <x:c r="F7" s="13"/>
      <x:c r="G7" s="13" t="n">
        <x:v>76.9</x:v>
      </x:c>
      <x:c r="H7" s="13" t="str">
        <x:f>IF(OR(F7="",G7=""),"",G7-F7)</x:f>
      </x:c>
      <x:c r="I7" t="str">
        <x:f>IF(G7&lt;50,"NL",IF(G7&lt;66.7,"PL","L"))</x:f>
        <x:v>L</x:v>
      </x:c>
      <x:c r="J7" t="str">
        <x:v>Geometría</x:v>
      </x:c>
      <x:c r="K7" s="13" t="n">
        <x:v>85.7</x:v>
      </x:c>
      <x:c r="L7" t="str">
        <x:v>Medición</x:v>
      </x:c>
      <x:c r="M7" s="13" t="n">
        <x:v>58.6</x:v>
      </x:c>
      <x:c r="N7" t="str">
        <x:v>MATEMATICA__1-C__planilla.xlsx</x:v>
      </x:c>
    </x:row>
    <x:row r="8">
      <x:c r="A8" t="str">
        <x:v>Lectura</x:v>
      </x:c>
      <x:c r="B8" t="str">
        <x:v>1° Ciclo</x:v>
      </x:c>
      <x:c r="C8" t="str">
        <x:v>2° Básico</x:v>
      </x:c>
      <x:c r="D8" t="str">
        <x:v>2°A</x:v>
      </x:c>
      <x:c r="E8" s="12" t="n">
        <x:v>37</x:v>
      </x:c>
      <x:c r="F8" s="13" t="n">
        <x:v>56.7</x:v>
      </x:c>
      <x:c r="G8" s="13" t="n">
        <x:v>54.6</x:v>
      </x:c>
      <x:c r="H8" s="13" t="n">
        <x:f>IF(OR(F8="",G8=""),"",G8-F8)</x:f>
        <x:v>-2.1000000000000014</x:v>
      </x:c>
      <x:c r="I8" t="str">
        <x:f>IF(G8&lt;50,"NL",IF(G8&lt;66.7,"PL","L"))</x:f>
        <x:v>PL</x:v>
      </x:c>
      <x:c r="J8" t="str">
        <x:v>Localizar</x:v>
      </x:c>
      <x:c r="K8" s="13" t="n">
        <x:v>60.1</x:v>
      </x:c>
      <x:c r="L8" t="str">
        <x:v>Reflexionar</x:v>
      </x:c>
      <x:c r="M8" s="13" t="n">
        <x:v>45.9</x:v>
      </x:c>
      <x:c r="N8" t="str">
        <x:v>LECTURA__2-A__planilla.xlsx</x:v>
      </x:c>
    </x:row>
    <x:row r="9">
      <x:c r="A9" t="str">
        <x:v>Matemática</x:v>
      </x:c>
      <x:c r="B9" t="str">
        <x:v>1° Ciclo</x:v>
      </x:c>
      <x:c r="C9" t="str">
        <x:v>2° Básico</x:v>
      </x:c>
      <x:c r="D9" t="str">
        <x:v>2°A</x:v>
      </x:c>
      <x:c r="E9" s="12" t="n">
        <x:v>37</x:v>
      </x:c>
      <x:c r="F9" s="13"/>
      <x:c r="G9" s="13" t="n">
        <x:v>66.5</x:v>
      </x:c>
      <x:c r="H9" s="13" t="str">
        <x:f>IF(OR(F9="",G9=""),"",G9-F9)</x:f>
      </x:c>
      <x:c r="I9" t="str">
        <x:f>IF(G9&lt;50,"NL",IF(G9&lt;66.7,"PL","L"))</x:f>
        <x:v>PL</x:v>
      </x:c>
      <x:c r="J9" t="str">
        <x:v>Patrones y álgebra</x:v>
      </x:c>
      <x:c r="K9" s="13" t="n">
        <x:v>91.9</x:v>
      </x:c>
      <x:c r="L9" t="str">
        <x:v>Datos y probabilidades</x:v>
      </x:c>
      <x:c r="M9" s="13" t="n">
        <x:v>55</x:v>
      </x:c>
      <x:c r="N9" t="str">
        <x:v>MATEMATICA__2-A__planilla.xlsx</x:v>
      </x:c>
    </x:row>
    <x:row r="10">
      <x:c r="A10" t="str">
        <x:v>Lectura</x:v>
      </x:c>
      <x:c r="B10" t="str">
        <x:v>1° Ciclo</x:v>
      </x:c>
      <x:c r="C10" t="str">
        <x:v>2° Básico</x:v>
      </x:c>
      <x:c r="D10" t="str">
        <x:v>2°B</x:v>
      </x:c>
      <x:c r="E10" s="12" t="n">
        <x:v>37</x:v>
      </x:c>
      <x:c r="F10" s="13" t="n">
        <x:v>67.6</x:v>
      </x:c>
      <x:c r="G10" s="13" t="n">
        <x:v>67</x:v>
      </x:c>
      <x:c r="H10" s="13" t="n">
        <x:f>IF(OR(F10="",G10=""),"",G10-F10)</x:f>
        <x:v>-0.5999999999999943</x:v>
      </x:c>
      <x:c r="I10" t="str">
        <x:f>IF(G10&lt;50,"NL",IF(G10&lt;66.7,"PL","L"))</x:f>
        <x:v>L</x:v>
      </x:c>
      <x:c r="J10" t="str">
        <x:v>Reflexionar</x:v>
      </x:c>
      <x:c r="K10" s="13" t="n">
        <x:v>77</x:v>
      </x:c>
      <x:c r="L10" t="str">
        <x:v>Interpretar y relacionar</x:v>
      </x:c>
      <x:c r="M10" s="13" t="n">
        <x:v>56.5</x:v>
      </x:c>
      <x:c r="N10" t="str">
        <x:v>LECTURA__2-B__planilla.xlsx</x:v>
      </x:c>
    </x:row>
    <x:row r="11">
      <x:c r="A11" t="str">
        <x:v>Matemática</x:v>
      </x:c>
      <x:c r="B11" t="str">
        <x:v>1° Ciclo</x:v>
      </x:c>
      <x:c r="C11" t="str">
        <x:v>2° Básico</x:v>
      </x:c>
      <x:c r="D11" t="str">
        <x:v>2°B</x:v>
      </x:c>
      <x:c r="E11" s="12" t="n">
        <x:v>40</x:v>
      </x:c>
      <x:c r="F11" s="13"/>
      <x:c r="G11" s="13" t="n">
        <x:v>68.1</x:v>
      </x:c>
      <x:c r="H11" s="13" t="str">
        <x:f>IF(OR(F11="",G11=""),"",G11-F11)</x:f>
      </x:c>
      <x:c r="I11" t="str">
        <x:f>IF(G11&lt;50,"NL",IF(G11&lt;66.7,"PL","L"))</x:f>
        <x:v>L</x:v>
      </x:c>
      <x:c r="J11" t="str">
        <x:v>Patrones y álgebra</x:v>
      </x:c>
      <x:c r="K11" s="13" t="n">
        <x:v>85</x:v>
      </x:c>
      <x:c r="L11" t="str">
        <x:v>Datos y probabilidades</x:v>
      </x:c>
      <x:c r="M11" s="13" t="n">
        <x:v>48.3</x:v>
      </x:c>
      <x:c r="N11" t="str">
        <x:v>MATEMATICA__2-B__planilla.xlsx</x:v>
      </x:c>
    </x:row>
    <x:row r="12">
      <x:c r="A12" t="str">
        <x:v>Lectura</x:v>
      </x:c>
      <x:c r="B12" t="str">
        <x:v>1° Ciclo</x:v>
      </x:c>
      <x:c r="C12" t="str">
        <x:v>2° Básico</x:v>
      </x:c>
      <x:c r="D12" t="str">
        <x:v>2°C</x:v>
      </x:c>
      <x:c r="E12" s="12" t="n">
        <x:v>39</x:v>
      </x:c>
      <x:c r="F12" s="13" t="n">
        <x:v>65.9</x:v>
      </x:c>
      <x:c r="G12" s="13" t="n">
        <x:v>64.5</x:v>
      </x:c>
      <x:c r="H12" s="13" t="n">
        <x:f>IF(OR(F12="",G12=""),"",G12-F12)</x:f>
        <x:v>-1.4000000000000057</x:v>
      </x:c>
      <x:c r="I12" t="str">
        <x:f>IF(G12&lt;50,"NL",IF(G12&lt;66.7,"PL","L"))</x:f>
        <x:v>PL</x:v>
      </x:c>
      <x:c r="J12" t="str">
        <x:v>Reflexionar</x:v>
      </x:c>
      <x:c r="K12" s="13" t="n">
        <x:v>73.7</x:v>
      </x:c>
      <x:c r="L12" t="str">
        <x:v>Interpretar y relacionar</x:v>
      </x:c>
      <x:c r="M12" s="13" t="n">
        <x:v>58.2</x:v>
      </x:c>
      <x:c r="N12" t="str">
        <x:v>LECTURA__2-C__planilla.xlsx</x:v>
      </x:c>
    </x:row>
    <x:row r="13">
      <x:c r="A13" t="str">
        <x:v>Matemática</x:v>
      </x:c>
      <x:c r="B13" t="str">
        <x:v>1° Ciclo</x:v>
      </x:c>
      <x:c r="C13" t="str">
        <x:v>2° Básico</x:v>
      </x:c>
      <x:c r="D13" t="str">
        <x:v>2°C</x:v>
      </x:c>
      <x:c r="E13" s="12" t="n">
        <x:v>39</x:v>
      </x:c>
      <x:c r="F13" s="13"/>
      <x:c r="G13" s="13" t="n">
        <x:v>65.8</x:v>
      </x:c>
      <x:c r="H13" s="13" t="str">
        <x:f>IF(OR(F13="",G13=""),"",G13-F13)</x:f>
      </x:c>
      <x:c r="I13" t="str">
        <x:f>IF(G13&lt;50,"NL",IF(G13&lt;66.7,"PL","L"))</x:f>
        <x:v>PL</x:v>
      </x:c>
      <x:c r="J13" t="str">
        <x:v>Patrones y álgebra</x:v>
      </x:c>
      <x:c r="K13" s="13" t="n">
        <x:v>91</x:v>
      </x:c>
      <x:c r="L13" t="str">
        <x:v>Datos y probabilidades</x:v>
      </x:c>
      <x:c r="M13" s="13" t="n">
        <x:v>55.6</x:v>
      </x:c>
      <x:c r="N13" t="str">
        <x:v>MATEMATICA__2-C__planilla.xlsx</x:v>
      </x:c>
    </x:row>
    <x:row r="14">
      <x:c r="A14" t="str">
        <x:v>Lectura</x:v>
      </x:c>
      <x:c r="B14" t="str">
        <x:v>1° Ciclo</x:v>
      </x:c>
      <x:c r="C14" t="str">
        <x:v>3° Básico</x:v>
      </x:c>
      <x:c r="D14" t="str">
        <x:v>3°A</x:v>
      </x:c>
      <x:c r="E14" s="12" t="n">
        <x:v>43</x:v>
      </x:c>
      <x:c r="F14" s="13" t="n">
        <x:v>43.4</x:v>
      </x:c>
      <x:c r="G14" s="13" t="n">
        <x:v>57.9</x:v>
      </x:c>
      <x:c r="H14" s="13" t="n">
        <x:f>IF(OR(F14="",G14=""),"",G14-F14)</x:f>
        <x:v>14.5</x:v>
      </x:c>
      <x:c r="I14" t="str">
        <x:f>IF(G14&lt;50,"NL",IF(G14&lt;66.7,"PL","L"))</x:f>
        <x:v>PL</x:v>
      </x:c>
      <x:c r="J14" t="str">
        <x:v>Localizar</x:v>
      </x:c>
      <x:c r="K14" s="13" t="n">
        <x:v>70.5</x:v>
      </x:c>
      <x:c r="L14" t="str">
        <x:v>Reflexionar</x:v>
      </x:c>
      <x:c r="M14" s="13" t="n">
        <x:v>38.4</x:v>
      </x:c>
      <x:c r="N14" t="str">
        <x:v>LECTURA__3-A__planilla.xlsx</x:v>
      </x:c>
    </x:row>
    <x:row r="15">
      <x:c r="A15" t="str">
        <x:v>Matemática</x:v>
      </x:c>
      <x:c r="B15" t="str">
        <x:v>1° Ciclo</x:v>
      </x:c>
      <x:c r="C15" t="str">
        <x:v>3° Básico</x:v>
      </x:c>
      <x:c r="D15" t="str">
        <x:v>3°A</x:v>
      </x:c>
      <x:c r="E15" s="12" t="n">
        <x:v>43</x:v>
      </x:c>
      <x:c r="F15" s="13" t="n">
        <x:v>59.9</x:v>
      </x:c>
      <x:c r="G15" s="13" t="n">
        <x:v>47.3</x:v>
      </x:c>
      <x:c r="H15" s="13" t="n">
        <x:f>IF(OR(F15="",G15=""),"",G15-F15)</x:f>
        <x:v>-12.600000000000001</x:v>
      </x:c>
      <x:c r="I15" t="str">
        <x:f>IF(G15&lt;50,"NL",IF(G15&lt;66.7,"PL","L"))</x:f>
        <x:v>NL</x:v>
      </x:c>
      <x:c r="J15" t="str">
        <x:v>Geometría</x:v>
      </x:c>
      <x:c r="K15" s="13" t="n">
        <x:v>55</x:v>
      </x:c>
      <x:c r="L15" t="str">
        <x:v>Medición</x:v>
      </x:c>
      <x:c r="M15" s="13" t="n">
        <x:v>37.7</x:v>
      </x:c>
      <x:c r="N15" t="str">
        <x:v>MATEMATICA__3-A__planilla.xlsx</x:v>
      </x:c>
    </x:row>
    <x:row r="16">
      <x:c r="A16" t="str">
        <x:v>Lectura</x:v>
      </x:c>
      <x:c r="B16" t="str">
        <x:v>1° Ciclo</x:v>
      </x:c>
      <x:c r="C16" t="str">
        <x:v>3° Básico</x:v>
      </x:c>
      <x:c r="D16" t="str">
        <x:v>3°B</x:v>
      </x:c>
      <x:c r="E16" s="12" t="n">
        <x:v>44</x:v>
      </x:c>
      <x:c r="F16" s="13" t="n">
        <x:v>52.3</x:v>
      </x:c>
      <x:c r="G16" s="13" t="n">
        <x:v>55.2</x:v>
      </x:c>
      <x:c r="H16" s="13" t="n">
        <x:f>IF(OR(F16="",G16=""),"",G16-F16)</x:f>
        <x:v>2.9000000000000057</x:v>
      </x:c>
      <x:c r="I16" t="str">
        <x:f>IF(G16&lt;50,"NL",IF(G16&lt;66.7,"PL","L"))</x:f>
        <x:v>PL</x:v>
      </x:c>
      <x:c r="J16" t="str">
        <x:v>Interpretar y relacionar</x:v>
      </x:c>
      <x:c r="K16" s="13" t="n">
        <x:v>63.1</x:v>
      </x:c>
      <x:c r="L16" t="str">
        <x:v>Reflexionar</x:v>
      </x:c>
      <x:c r="M16" s="13" t="n">
        <x:v>42.6</x:v>
      </x:c>
      <x:c r="N16" t="str">
        <x:v>LECTURA__3-B__planilla.xlsx</x:v>
      </x:c>
    </x:row>
    <x:row r="17">
      <x:c r="A17" t="str">
        <x:v>Matemática</x:v>
      </x:c>
      <x:c r="B17" t="str">
        <x:v>1° Ciclo</x:v>
      </x:c>
      <x:c r="C17" t="str">
        <x:v>3° Básico</x:v>
      </x:c>
      <x:c r="D17" t="str">
        <x:v>3°B</x:v>
      </x:c>
      <x:c r="E17" s="12" t="n">
        <x:v>44</x:v>
      </x:c>
      <x:c r="F17" s="13" t="n">
        <x:v>62.8</x:v>
      </x:c>
      <x:c r="G17" s="13" t="n">
        <x:v>49.1</x:v>
      </x:c>
      <x:c r="H17" s="13" t="n">
        <x:f>IF(OR(F17="",G17=""),"",G17-F17)</x:f>
        <x:v>-13.699999999999996</x:v>
      </x:c>
      <x:c r="I17" t="str">
        <x:f>IF(G17&lt;50,"NL",IF(G17&lt;66.7,"PL","L"))</x:f>
        <x:v>NL</x:v>
      </x:c>
      <x:c r="J17" t="str">
        <x:v>Geometría</x:v>
      </x:c>
      <x:c r="K17" s="13" t="n">
        <x:v>51.1</x:v>
      </x:c>
      <x:c r="L17" t="str">
        <x:v>Medición</x:v>
      </x:c>
      <x:c r="M17" s="13" t="n">
        <x:v>47.3</x:v>
      </x:c>
      <x:c r="N17" t="str">
        <x:v>MATEMATICA__3-B__planilla.xlsx</x:v>
      </x:c>
    </x:row>
    <x:row r="18">
      <x:c r="A18" t="str">
        <x:v>Lectura</x:v>
      </x:c>
      <x:c r="B18" t="str">
        <x:v>1° Ciclo</x:v>
      </x:c>
      <x:c r="C18" t="str">
        <x:v>3° Básico</x:v>
      </x:c>
      <x:c r="D18" t="str">
        <x:v>3°C</x:v>
      </x:c>
      <x:c r="E18" s="12" t="n">
        <x:v>37</x:v>
      </x:c>
      <x:c r="F18" s="13" t="n">
        <x:v>45.3</x:v>
      </x:c>
      <x:c r="G18" s="13" t="n">
        <x:v>54.7</x:v>
      </x:c>
      <x:c r="H18" s="13" t="n">
        <x:f>IF(OR(F18="",G18=""),"",G18-F18)</x:f>
        <x:v>9.400000000000006</x:v>
      </x:c>
      <x:c r="I18" t="str">
        <x:f>IF(G18&lt;50,"NL",IF(G18&lt;66.7,"PL","L"))</x:f>
        <x:v>PL</x:v>
      </x:c>
      <x:c r="J18" t="str">
        <x:v>Localizar</x:v>
      </x:c>
      <x:c r="K18" s="13" t="n">
        <x:v>65.3</x:v>
      </x:c>
      <x:c r="L18" t="str">
        <x:v>Reflexionar</x:v>
      </x:c>
      <x:c r="M18" s="13" t="n">
        <x:v>35.8</x:v>
      </x:c>
      <x:c r="N18" t="str">
        <x:v>LECTURA__3-C__planilla.xlsx</x:v>
      </x:c>
    </x:row>
    <x:row r="19">
      <x:c r="A19" t="str">
        <x:v>Matemática</x:v>
      </x:c>
      <x:c r="B19" t="str">
        <x:v>1° Ciclo</x:v>
      </x:c>
      <x:c r="C19" t="str">
        <x:v>3° Básico</x:v>
      </x:c>
      <x:c r="D19" t="str">
        <x:v>3°C</x:v>
      </x:c>
      <x:c r="E19" s="12" t="n">
        <x:v>38</x:v>
      </x:c>
      <x:c r="F19" s="13" t="n">
        <x:v>52.2</x:v>
      </x:c>
      <x:c r="G19" s="13" t="n">
        <x:v>51.2</x:v>
      </x:c>
      <x:c r="H19" s="13" t="n">
        <x:f>IF(OR(F19="",G19=""),"",G19-F19)</x:f>
        <x:v>-1</x:v>
      </x:c>
      <x:c r="I19" t="str">
        <x:f>IF(G19&lt;50,"NL",IF(G19&lt;66.7,"PL","L"))</x:f>
        <x:v>PL</x:v>
      </x:c>
      <x:c r="J19" t="str">
        <x:v>Patrones y álgebra</x:v>
      </x:c>
      <x:c r="K19" s="13" t="n">
        <x:v>55.3</x:v>
      </x:c>
      <x:c r="L19" t="str">
        <x:v>Números y operaciones</x:v>
      </x:c>
      <x:c r="M19" s="13" t="n">
        <x:v>43.9</x:v>
      </x:c>
      <x:c r="N19" t="str">
        <x:v>MATEMATICA__3-C__planilla.xlsx</x:v>
      </x:c>
    </x:row>
    <x:row r="20">
      <x:c r="A20" t="str">
        <x:v>Lectura</x:v>
      </x:c>
      <x:c r="B20" t="str">
        <x:v>1° Ciclo</x:v>
      </x:c>
      <x:c r="C20" t="str">
        <x:v>4° Básico</x:v>
      </x:c>
      <x:c r="D20" t="str">
        <x:v>4°A</x:v>
      </x:c>
      <x:c r="E20" s="12" t="n">
        <x:v>42</x:v>
      </x:c>
      <x:c r="F20" s="13" t="n">
        <x:v>62.2</x:v>
      </x:c>
      <x:c r="G20" s="13" t="n">
        <x:v>66.7</x:v>
      </x:c>
      <x:c r="H20" s="13" t="n">
        <x:f>IF(OR(F20="",G20=""),"",G20-F20)</x:f>
        <x:v>4.5</x:v>
      </x:c>
      <x:c r="I20" t="str">
        <x:f>IF(G20&lt;50,"NL",IF(G20&lt;66.7,"PL","L"))</x:f>
        <x:v>L</x:v>
      </x:c>
      <x:c r="J20" t="str">
        <x:v>Reflexionar</x:v>
      </x:c>
      <x:c r="K20" s="13" t="n">
        <x:v>74.4</x:v>
      </x:c>
      <x:c r="L20" t="str">
        <x:v>Interpretar y relacionar</x:v>
      </x:c>
      <x:c r="M20" s="13" t="n">
        <x:v>56.3</x:v>
      </x:c>
      <x:c r="N20" t="str">
        <x:v>LECTURA__4-A__planilla.xlsx</x:v>
      </x:c>
    </x:row>
    <x:row r="21">
      <x:c r="A21" t="str">
        <x:v>Matemática</x:v>
      </x:c>
      <x:c r="B21" t="str">
        <x:v>1° Ciclo</x:v>
      </x:c>
      <x:c r="C21" t="str">
        <x:v>4° Básico</x:v>
      </x:c>
      <x:c r="D21" t="str">
        <x:v>4°A</x:v>
      </x:c>
      <x:c r="E21" s="12" t="n">
        <x:v>43</x:v>
      </x:c>
      <x:c r="F21" s="13" t="n">
        <x:v>52.7</x:v>
      </x:c>
      <x:c r="G21" s="13" t="n">
        <x:v>48.4</x:v>
      </x:c>
      <x:c r="H21" s="13" t="n">
        <x:f>IF(OR(F21="",G21=""),"",G21-F21)</x:f>
        <x:v>-4.300000000000004</x:v>
      </x:c>
      <x:c r="I21" t="str">
        <x:f>IF(G21&lt;50,"NL",IF(G21&lt;66.7,"PL","L"))</x:f>
        <x:v>NL</x:v>
      </x:c>
      <x:c r="J21" t="str">
        <x:v>Datos y probabilidades</x:v>
      </x:c>
      <x:c r="K21" s="13" t="n">
        <x:v>54.3</x:v>
      </x:c>
      <x:c r="L21" t="str">
        <x:v>Patrones y álgebra</x:v>
      </x:c>
      <x:c r="M21" s="13" t="n">
        <x:v>35.7</x:v>
      </x:c>
      <x:c r="N21" t="str">
        <x:v>MATEMATICA__4-A__planilla.xlsx</x:v>
      </x:c>
    </x:row>
    <x:row r="22">
      <x:c r="A22" t="str">
        <x:v>Lectura</x:v>
      </x:c>
      <x:c r="B22" t="str">
        <x:v>1° Ciclo</x:v>
      </x:c>
      <x:c r="C22" t="str">
        <x:v>4° Básico</x:v>
      </x:c>
      <x:c r="D22" t="str">
        <x:v>4°B</x:v>
      </x:c>
      <x:c r="E22" s="12" t="n">
        <x:v>44</x:v>
      </x:c>
      <x:c r="F22" s="13" t="n">
        <x:v>73.2</x:v>
      </x:c>
      <x:c r="G22" s="13" t="n">
        <x:v>55.4</x:v>
      </x:c>
      <x:c r="H22" s="13" t="n">
        <x:f>IF(OR(F22="",G22=""),"",G22-F22)</x:f>
        <x:v>-17.800000000000004</x:v>
      </x:c>
      <x:c r="I22" t="str">
        <x:f>IF(G22&lt;50,"NL",IF(G22&lt;66.7,"PL","L"))</x:f>
        <x:v>PL</x:v>
      </x:c>
      <x:c r="J22" t="str">
        <x:v>Localizar</x:v>
      </x:c>
      <x:c r="K22" s="13" t="n">
        <x:v>68.6</x:v>
      </x:c>
      <x:c r="L22" t="str">
        <x:v>Reflexionar</x:v>
      </x:c>
      <x:c r="M22" s="13" t="n">
        <x:v>43.2</x:v>
      </x:c>
      <x:c r="N22" t="str">
        <x:v>LECTURA__4-B__planilla.xlsx</x:v>
      </x:c>
    </x:row>
    <x:row r="23">
      <x:c r="A23" t="str">
        <x:v>Matemática</x:v>
      </x:c>
      <x:c r="B23" t="str">
        <x:v>1° Ciclo</x:v>
      </x:c>
      <x:c r="C23" t="str">
        <x:v>4° Básico</x:v>
      </x:c>
      <x:c r="D23" t="str">
        <x:v>4°B</x:v>
      </x:c>
      <x:c r="E23" s="12" t="n">
        <x:v>44</x:v>
      </x:c>
      <x:c r="F23" s="13" t="n">
        <x:v>53.5</x:v>
      </x:c>
      <x:c r="G23" s="13" t="n">
        <x:v>42.7</x:v>
      </x:c>
      <x:c r="H23" s="13" t="n">
        <x:f>IF(OR(F23="",G23=""),"",G23-F23)</x:f>
        <x:v>-10.799999999999997</x:v>
      </x:c>
      <x:c r="I23" t="str">
        <x:f>IF(G23&lt;50,"NL",IF(G23&lt;66.7,"PL","L"))</x:f>
        <x:v>NL</x:v>
      </x:c>
      <x:c r="J23" t="str">
        <x:v>Geometría</x:v>
      </x:c>
      <x:c r="K23" s="13" t="n">
        <x:v>51.1</x:v>
      </x:c>
      <x:c r="L23" t="str">
        <x:v>Patrones y álgebra</x:v>
      </x:c>
      <x:c r="M23" s="13" t="n">
        <x:v>26.5</x:v>
      </x:c>
      <x:c r="N23" t="str">
        <x:v>MATEMATICA__4-B__planilla.xlsx</x:v>
      </x:c>
    </x:row>
    <x:row r="24">
      <x:c r="A24" t="str">
        <x:v>Lectura</x:v>
      </x:c>
      <x:c r="B24" t="str">
        <x:v>1° Ciclo</x:v>
      </x:c>
      <x:c r="C24" t="str">
        <x:v>4° Básico</x:v>
      </x:c>
      <x:c r="D24" t="str">
        <x:v>4°C</x:v>
      </x:c>
      <x:c r="E24" s="12" t="n">
        <x:v>41</x:v>
      </x:c>
      <x:c r="F24" s="13" t="n">
        <x:v>66.7</x:v>
      </x:c>
      <x:c r="G24" s="13" t="n">
        <x:v>56.9</x:v>
      </x:c>
      <x:c r="H24" s="13" t="n">
        <x:f>IF(OR(F24="",G24=""),"",G24-F24)</x:f>
        <x:v>-9.800000000000004</x:v>
      </x:c>
      <x:c r="I24" t="str">
        <x:f>IF(G24&lt;50,"NL",IF(G24&lt;66.7,"PL","L"))</x:f>
        <x:v>PL</x:v>
      </x:c>
      <x:c r="J24" t="str">
        <x:v>Localizar</x:v>
      </x:c>
      <x:c r="K24" s="13" t="n">
        <x:v>62.9</x:v>
      </x:c>
      <x:c r="L24" t="str">
        <x:v>Interpretar y relacionar</x:v>
      </x:c>
      <x:c r="M24" s="13" t="n">
        <x:v>51.8</x:v>
      </x:c>
      <x:c r="N24" t="str">
        <x:v>LECTURA__4-C__planilla.xlsx</x:v>
      </x:c>
    </x:row>
    <x:row r="25">
      <x:c r="A25" t="str">
        <x:v>Matemática</x:v>
      </x:c>
      <x:c r="B25" t="str">
        <x:v>1° Ciclo</x:v>
      </x:c>
      <x:c r="C25" t="str">
        <x:v>4° Básico</x:v>
      </x:c>
      <x:c r="D25" t="str">
        <x:v>4°C</x:v>
      </x:c>
      <x:c r="E25" s="12" t="n">
        <x:v>41</x:v>
      </x:c>
      <x:c r="F25" s="13" t="n">
        <x:v>57.8</x:v>
      </x:c>
      <x:c r="G25" s="13" t="n">
        <x:v>41.6</x:v>
      </x:c>
      <x:c r="H25" s="13" t="n">
        <x:f>IF(OR(F25="",G25=""),"",G25-F25)</x:f>
        <x:v>-16.199999999999996</x:v>
      </x:c>
      <x:c r="I25" t="str">
        <x:f>IF(G25&lt;50,"NL",IF(G25&lt;66.7,"PL","L"))</x:f>
        <x:v>NL</x:v>
      </x:c>
      <x:c r="J25" t="str">
        <x:v>Geometría</x:v>
      </x:c>
      <x:c r="K25" s="13" t="n">
        <x:v>53</x:v>
      </x:c>
      <x:c r="L25" t="str">
        <x:v>Patrones y álgebra</x:v>
      </x:c>
      <x:c r="M25" s="13" t="n">
        <x:v>28.5</x:v>
      </x:c>
      <x:c r="N25" t="str">
        <x:v>MATEMATICA__4-C__planilla.xlsx</x:v>
      </x:c>
    </x:row>
    <x:row r="26">
      <x:c r="A26" t="str">
        <x:v>Lectura</x:v>
      </x:c>
      <x:c r="B26" t="str">
        <x:v>2° Ciclo</x:v>
      </x:c>
      <x:c r="C26" t="str">
        <x:v>5° Básico</x:v>
      </x:c>
      <x:c r="D26" t="str">
        <x:v>5°A</x:v>
      </x:c>
      <x:c r="E26" s="12" t="n">
        <x:v>31</x:v>
      </x:c>
      <x:c r="F26" s="13" t="n">
        <x:v>56.5</x:v>
      </x:c>
      <x:c r="G26" s="13" t="n">
        <x:v>51.7</x:v>
      </x:c>
      <x:c r="H26" s="13" t="n">
        <x:f>IF(OR(F26="",G26=""),"",G26-F26)</x:f>
        <x:v>-4.799999999999997</x:v>
      </x:c>
      <x:c r="I26" t="str">
        <x:f>IF(G26&lt;50,"NL",IF(G26&lt;66.7,"PL","L"))</x:f>
        <x:v>PL</x:v>
      </x:c>
      <x:c r="J26" t="str">
        <x:v>Localizar</x:v>
      </x:c>
      <x:c r="K26" s="13" t="n">
        <x:v>58.1</x:v>
      </x:c>
      <x:c r="L26" t="str">
        <x:v>Reflexionar</x:v>
      </x:c>
      <x:c r="M26" s="13" t="n">
        <x:v>41.9</x:v>
      </x:c>
      <x:c r="N26" t="str">
        <x:v>LECTURA__5-A__planilla.xlsx</x:v>
      </x:c>
    </x:row>
    <x:row r="27">
      <x:c r="A27" t="str">
        <x:v>Matemática</x:v>
      </x:c>
      <x:c r="B27" t="str">
        <x:v>2° Ciclo</x:v>
      </x:c>
      <x:c r="C27" t="str">
        <x:v>5° Básico</x:v>
      </x:c>
      <x:c r="D27" t="str">
        <x:v>5°A</x:v>
      </x:c>
      <x:c r="E27" s="12" t="n">
        <x:v>18</x:v>
      </x:c>
      <x:c r="F27" s="13" t="n">
        <x:v>53.9</x:v>
      </x:c>
      <x:c r="G27" s="13" t="n">
        <x:v>34.8</x:v>
      </x:c>
      <x:c r="H27" s="13" t="n">
        <x:f>IF(OR(F27="",G27=""),"",G27-F27)</x:f>
        <x:v>-19.1</x:v>
      </x:c>
      <x:c r="I27" t="str">
        <x:f>IF(G27&lt;50,"NL",IF(G27&lt;66.7,"PL","L"))</x:f>
        <x:v>NL</x:v>
      </x:c>
      <x:c r="J27" t="str">
        <x:v>Geometría</x:v>
      </x:c>
      <x:c r="K27" s="13" t="n">
        <x:v>61.8</x:v>
      </x:c>
      <x:c r="L27" t="str">
        <x:v>Patrones y álgebra</x:v>
      </x:c>
      <x:c r="M27" s="13" t="n">
        <x:v>22.2</x:v>
      </x:c>
      <x:c r="N27" t="str">
        <x:v>MATEMATICA__5-A__planilla.xlsx</x:v>
      </x:c>
    </x:row>
    <x:row r="28">
      <x:c r="A28" t="str">
        <x:v>Ciencias Naturales</x:v>
      </x:c>
      <x:c r="B28" t="str">
        <x:v>2° Ciclo</x:v>
      </x:c>
      <x:c r="C28" t="str">
        <x:v>5° Básico</x:v>
      </x:c>
      <x:c r="D28" t="str">
        <x:v>5°A</x:v>
      </x:c>
      <x:c r="E28" s="12" t="n">
        <x:v>34</x:v>
      </x:c>
      <x:c r="F28" s="13"/>
      <x:c r="G28" s="13" t="n">
        <x:v>56.2</x:v>
      </x:c>
      <x:c r="H28" s="13" t="str">
        <x:f>IF(OR(F28="",G28=""),"",G28-F28)</x:f>
      </x:c>
      <x:c r="I28" t="str">
        <x:f>IF(G28&lt;50,"NL",IF(G28&lt;66.7,"PL","L"))</x:f>
        <x:v>PL</x:v>
      </x:c>
      <x:c r="J28" t="str">
        <x:v>Ciencias de la vida</x:v>
      </x:c>
      <x:c r="K28" s="13" t="n">
        <x:v>69.2</x:v>
      </x:c>
      <x:c r="L28" t="str">
        <x:v>Ciencias de la Tierra y el Universo</x:v>
      </x:c>
      <x:c r="M28" s="13" t="n">
        <x:v>46.9</x:v>
      </x:c>
      <x:c r="N28" t="str">
        <x:v>CIENCIAS_NATURALES__5-A__planilla.xlsx</x:v>
      </x:c>
    </x:row>
    <x:row r="29">
      <x:c r="A29" t="str">
        <x:v>Historia y Cs. Sociales</x:v>
      </x:c>
      <x:c r="B29" t="str">
        <x:v>2° Ciclo</x:v>
      </x:c>
      <x:c r="C29" t="str">
        <x:v>5° Básico</x:v>
      </x:c>
      <x:c r="D29" t="str">
        <x:v>5°A</x:v>
      </x:c>
      <x:c r="E29" s="12" t="n">
        <x:v>29</x:v>
      </x:c>
      <x:c r="F29" s="13"/>
      <x:c r="G29" s="13" t="n">
        <x:v>33.2</x:v>
      </x:c>
      <x:c r="H29" s="13" t="str">
        <x:f>IF(OR(F29="",G29=""),"",G29-F29)</x:f>
      </x:c>
      <x:c r="I29" t="str">
        <x:f>IF(G29&lt;50,"NL",IF(G29&lt;66.7,"PL","L"))</x:f>
        <x:v>NL</x:v>
      </x:c>
      <x:c r="J29" t="str">
        <x:v>Geografía</x:v>
      </x:c>
      <x:c r="K29" s="13" t="n">
        <x:v>39.7</x:v>
      </x:c>
      <x:c r="L29" t="str">
        <x:v>Historia</x:v>
      </x:c>
      <x:c r="M29" s="13" t="n">
        <x:v>25.8</x:v>
      </x:c>
      <x:c r="N29" t="str">
        <x:v>HISTORIA_GEOGRAFIA_y_CIENCIAS_SOCIALES__5-A__planilla.xlsx</x:v>
      </x:c>
    </x:row>
    <x:row r="30">
      <x:c r="A30" t="str">
        <x:v>Lectura</x:v>
      </x:c>
      <x:c r="B30" t="str">
        <x:v>2° Ciclo</x:v>
      </x:c>
      <x:c r="C30" t="str">
        <x:v>5° Básico</x:v>
      </x:c>
      <x:c r="D30" t="str">
        <x:v>5°B</x:v>
      </x:c>
      <x:c r="E30" s="12" t="n">
        <x:v>36</x:v>
      </x:c>
      <x:c r="F30" s="13" t="n">
        <x:v>43.3</x:v>
      </x:c>
      <x:c r="G30" s="13" t="n">
        <x:v>38.1</x:v>
      </x:c>
      <x:c r="H30" s="13" t="n">
        <x:f>IF(OR(F30="",G30=""),"",G30-F30)</x:f>
        <x:v>-5.199999999999996</x:v>
      </x:c>
      <x:c r="I30" t="str">
        <x:f>IF(G30&lt;50,"NL",IF(G30&lt;66.7,"PL","L"))</x:f>
        <x:v>NL</x:v>
      </x:c>
      <x:c r="J30" t="str">
        <x:v>Localizar</x:v>
      </x:c>
      <x:c r="K30" s="13" t="n">
        <x:v>44</x:v>
      </x:c>
      <x:c r="L30" t="str">
        <x:v>Reflexionar</x:v>
      </x:c>
      <x:c r="M30" s="13" t="n">
        <x:v>32.3</x:v>
      </x:c>
      <x:c r="N30" t="str">
        <x:v>LECTURA__5-B__planilla.xlsx</x:v>
      </x:c>
    </x:row>
    <x:row r="31">
      <x:c r="A31" t="str">
        <x:v>Matemática</x:v>
      </x:c>
      <x:c r="B31" t="str">
        <x:v>2° Ciclo</x:v>
      </x:c>
      <x:c r="C31" t="str">
        <x:v>5° Básico</x:v>
      </x:c>
      <x:c r="D31" t="str">
        <x:v>5°B</x:v>
      </x:c>
      <x:c r="E31" s="12" t="n">
        <x:v>36</x:v>
      </x:c>
      <x:c r="F31" s="13" t="n">
        <x:v>42.9</x:v>
      </x:c>
      <x:c r="G31" s="13" t="n">
        <x:v>34.2</x:v>
      </x:c>
      <x:c r="H31" s="13" t="n">
        <x:f>IF(OR(F31="",G31=""),"",G31-F31)</x:f>
        <x:v>-8.699999999999996</x:v>
      </x:c>
      <x:c r="I31" t="str">
        <x:f>IF(G31&lt;50,"NL",IF(G31&lt;66.7,"PL","L"))</x:f>
        <x:v>NL</x:v>
      </x:c>
      <x:c r="J31" t="str">
        <x:v>Geometría</x:v>
      </x:c>
      <x:c r="K31" s="13" t="n">
        <x:v>45.5</x:v>
      </x:c>
      <x:c r="L31" t="str">
        <x:v>Patrones y álgebra</x:v>
      </x:c>
      <x:c r="M31" s="13" t="n">
        <x:v>25.7</x:v>
      </x:c>
      <x:c r="N31" t="str">
        <x:v>MATEMATICA__5-B__planilla.xlsx</x:v>
      </x:c>
    </x:row>
    <x:row r="32">
      <x:c r="A32" t="str">
        <x:v>Ciencias Naturales</x:v>
      </x:c>
      <x:c r="B32" t="str">
        <x:v>2° Ciclo</x:v>
      </x:c>
      <x:c r="C32" t="str">
        <x:v>5° Básico</x:v>
      </x:c>
      <x:c r="D32" t="str">
        <x:v>5°B</x:v>
      </x:c>
      <x:c r="E32" s="12" t="n">
        <x:v>31</x:v>
      </x:c>
      <x:c r="F32" s="13"/>
      <x:c r="G32" s="13" t="n">
        <x:v>48.8</x:v>
      </x:c>
      <x:c r="H32" s="13" t="str">
        <x:f>IF(OR(F32="",G32=""),"",G32-F32)</x:f>
      </x:c>
      <x:c r="I32" t="str">
        <x:f>IF(G32&lt;50,"NL",IF(G32&lt;66.7,"PL","L"))</x:f>
        <x:v>NL</x:v>
      </x:c>
      <x:c r="J32" t="str">
        <x:v>Ciencias de la vida</x:v>
      </x:c>
      <x:c r="K32" s="13" t="n">
        <x:v>55.4</x:v>
      </x:c>
      <x:c r="L32" t="str">
        <x:v>Ciencias de la Tierra y el Universo</x:v>
      </x:c>
      <x:c r="M32" s="13" t="n">
        <x:v>45.2</x:v>
      </x:c>
      <x:c r="N32" t="str">
        <x:v>CIENCIAS_NATURALES__5-B__planilla.xlsx</x:v>
      </x:c>
    </x:row>
    <x:row r="33">
      <x:c r="A33" t="str">
        <x:v>Lectura</x:v>
      </x:c>
      <x:c r="B33" t="str">
        <x:v>2° Ciclo</x:v>
      </x:c>
      <x:c r="C33" t="str">
        <x:v>5° Básico</x:v>
      </x:c>
      <x:c r="D33" t="str">
        <x:v>5°C</x:v>
      </x:c>
      <x:c r="E33" s="12" t="n">
        <x:v>35</x:v>
      </x:c>
      <x:c r="F33" s="13" t="n">
        <x:v>60.9</x:v>
      </x:c>
      <x:c r="G33" s="13" t="n">
        <x:v>47.9</x:v>
      </x:c>
      <x:c r="H33" s="13" t="n">
        <x:f>IF(OR(F33="",G33=""),"",G33-F33)</x:f>
        <x:v>-13</x:v>
      </x:c>
      <x:c r="I33" t="str">
        <x:f>IF(G33&lt;50,"NL",IF(G33&lt;66.7,"PL","L"))</x:f>
        <x:v>NL</x:v>
      </x:c>
      <x:c r="J33" t="str">
        <x:v>Localizar</x:v>
      </x:c>
      <x:c r="K33" s="13" t="n">
        <x:v>51.9</x:v>
      </x:c>
      <x:c r="L33" t="str">
        <x:v>Interpretar y relacionar</x:v>
      </x:c>
      <x:c r="M33" s="13" t="n">
        <x:v>43.4</x:v>
      </x:c>
      <x:c r="N33" t="str">
        <x:v>LECTURA__5-C__planilla.xlsx</x:v>
      </x:c>
    </x:row>
    <x:row r="34">
      <x:c r="A34" t="str">
        <x:v>Ciencias Naturales</x:v>
      </x:c>
      <x:c r="B34" t="str">
        <x:v>2° Ciclo</x:v>
      </x:c>
      <x:c r="C34" t="str">
        <x:v>5° Básico</x:v>
      </x:c>
      <x:c r="D34" t="str">
        <x:v>5°C</x:v>
      </x:c>
      <x:c r="E34" s="12" t="n">
        <x:v>29</x:v>
      </x:c>
      <x:c r="F34" s="13"/>
      <x:c r="G34" s="13" t="n">
        <x:v>47.3</x:v>
      </x:c>
      <x:c r="H34" s="13" t="str">
        <x:f>IF(OR(F34="",G34=""),"",G34-F34)</x:f>
      </x:c>
      <x:c r="I34" t="str">
        <x:f>IF(G34&lt;50,"NL",IF(G34&lt;66.7,"PL","L"))</x:f>
        <x:v>NL</x:v>
      </x:c>
      <x:c r="J34" t="str">
        <x:v>Ciencias de la vida</x:v>
      </x:c>
      <x:c r="K34" s="13" t="n">
        <x:v>55.2</x:v>
      </x:c>
      <x:c r="L34" t="str">
        <x:v>Ciencias Físicas y Químicas</x:v>
      </x:c>
      <x:c r="M34" s="13" t="n">
        <x:v>42</x:v>
      </x:c>
      <x:c r="N34" t="str">
        <x:v>CIENCIAS_NATURALES__5-C__planilla.xlsx</x:v>
      </x:c>
    </x:row>
    <x:row r="35">
      <x:c r="A35" t="str">
        <x:v>Historia y Cs. Sociales</x:v>
      </x:c>
      <x:c r="B35" t="str">
        <x:v>2° Ciclo</x:v>
      </x:c>
      <x:c r="C35" t="str">
        <x:v>5° Básico</x:v>
      </x:c>
      <x:c r="D35" t="str">
        <x:v>5°C</x:v>
      </x:c>
      <x:c r="E35" s="12" t="n">
        <x:v>31</x:v>
      </x:c>
      <x:c r="F35" s="13"/>
      <x:c r="G35" s="13" t="n">
        <x:v>37.5</x:v>
      </x:c>
      <x:c r="H35" s="13" t="str">
        <x:f>IF(OR(F35="",G35=""),"",G35-F35)</x:f>
      </x:c>
      <x:c r="I35" t="str">
        <x:f>IF(G35&lt;50,"NL",IF(G35&lt;66.7,"PL","L"))</x:f>
        <x:v>NL</x:v>
      </x:c>
      <x:c r="J35" t="str">
        <x:v>Formación Ciudadana</x:v>
      </x:c>
      <x:c r="K35" s="13" t="n">
        <x:v>54</x:v>
      </x:c>
      <x:c r="L35" t="str">
        <x:v>Historia</x:v>
      </x:c>
      <x:c r="M35" s="13" t="n">
        <x:v>20.2</x:v>
      </x:c>
      <x:c r="N35" t="str">
        <x:v>HISTORIA_GEOGRAFIA_y_CIENCIAS_SOCIALES__5-C__planilla.xlsx</x:v>
      </x:c>
    </x:row>
    <x:row r="36">
      <x:c r="A36" t="str">
        <x:v>Lectura</x:v>
      </x:c>
      <x:c r="B36" t="str">
        <x:v>2° Ciclo</x:v>
      </x:c>
      <x:c r="C36" t="str">
        <x:v>5° Básico</x:v>
      </x:c>
      <x:c r="D36" t="str">
        <x:v>5°D</x:v>
      </x:c>
      <x:c r="E36" s="12" t="n">
        <x:v>34</x:v>
      </x:c>
      <x:c r="F36" s="13" t="n">
        <x:v>68.4</x:v>
      </x:c>
      <x:c r="G36" s="13" t="n">
        <x:v>47.2</x:v>
      </x:c>
      <x:c r="H36" s="13" t="n">
        <x:f>IF(OR(F36="",G36=""),"",G36-F36)</x:f>
        <x:v>-21.200000000000003</x:v>
      </x:c>
      <x:c r="I36" t="str">
        <x:f>IF(G36&lt;50,"NL",IF(G36&lt;66.7,"PL","L"))</x:f>
        <x:v>NL</x:v>
      </x:c>
      <x:c r="J36" t="str">
        <x:v>Reflexionar</x:v>
      </x:c>
      <x:c r="K36" s="13" t="n">
        <x:v>58.1</x:v>
      </x:c>
      <x:c r="L36" t="str">
        <x:v>Localizar</x:v>
      </x:c>
      <x:c r="M36" s="13" t="n">
        <x:v>39.7</x:v>
      </x:c>
      <x:c r="N36" t="str">
        <x:v>LECTURA__5-D__planilla.xlsx</x:v>
      </x:c>
    </x:row>
    <x:row r="37">
      <x:c r="A37" t="str">
        <x:v>Matemática</x:v>
      </x:c>
      <x:c r="B37" t="str">
        <x:v>2° Ciclo</x:v>
      </x:c>
      <x:c r="C37" t="str">
        <x:v>5° Básico</x:v>
      </x:c>
      <x:c r="D37" t="str">
        <x:v>5°D</x:v>
      </x:c>
      <x:c r="E37" s="12" t="n">
        <x:v>36</x:v>
      </x:c>
      <x:c r="F37" s="13" t="n">
        <x:v>44.6</x:v>
      </x:c>
      <x:c r="G37" s="13" t="n">
        <x:v>33</x:v>
      </x:c>
      <x:c r="H37" s="13" t="n">
        <x:f>IF(OR(F37="",G37=""),"",G37-F37)</x:f>
        <x:v>-11.600000000000001</x:v>
      </x:c>
      <x:c r="I37" t="str">
        <x:f>IF(G37&lt;50,"NL",IF(G37&lt;66.7,"PL","L"))</x:f>
        <x:v>NL</x:v>
      </x:c>
      <x:c r="J37" t="str">
        <x:v>Geometría</x:v>
      </x:c>
      <x:c r="K37" s="13" t="n">
        <x:v>37.5</x:v>
      </x:c>
      <x:c r="L37" t="str">
        <x:v>Números y operaciones</x:v>
      </x:c>
      <x:c r="M37" s="13" t="n">
        <x:v>28.8</x:v>
      </x:c>
      <x:c r="N37" t="str">
        <x:v>MATEMATICA__5-D__planilla.xlsx</x:v>
      </x:c>
    </x:row>
    <x:row r="38">
      <x:c r="A38" t="str">
        <x:v>Ciencias Naturales</x:v>
      </x:c>
      <x:c r="B38" t="str">
        <x:v>2° Ciclo</x:v>
      </x:c>
      <x:c r="C38" t="str">
        <x:v>5° Básico</x:v>
      </x:c>
      <x:c r="D38" t="str">
        <x:v>5°D</x:v>
      </x:c>
      <x:c r="E38" s="12" t="n">
        <x:v>31</x:v>
      </x:c>
      <x:c r="F38" s="13"/>
      <x:c r="G38" s="13" t="n">
        <x:v>43.9</x:v>
      </x:c>
      <x:c r="H38" s="13" t="str">
        <x:f>IF(OR(F38="",G38=""),"",G38-F38)</x:f>
      </x:c>
      <x:c r="I38" t="str">
        <x:f>IF(G38&lt;50,"NL",IF(G38&lt;66.7,"PL","L"))</x:f>
        <x:v>NL</x:v>
      </x:c>
      <x:c r="J38" t="str">
        <x:v>Ciencias de la vida</x:v>
      </x:c>
      <x:c r="K38" s="13" t="n">
        <x:v>56.7</x:v>
      </x:c>
      <x:c r="L38" t="str">
        <x:v>Ciencias Físicas y Químicas</x:v>
      </x:c>
      <x:c r="M38" s="13" t="n">
        <x:v>33.3</x:v>
      </x:c>
      <x:c r="N38" t="str">
        <x:v>CIENCIAS_NATURALES__5-D__planilla.xlsx</x:v>
      </x:c>
    </x:row>
    <x:row r="39">
      <x:c r="A39" t="str">
        <x:v>Historia y Cs. Sociales</x:v>
      </x:c>
      <x:c r="B39" t="str">
        <x:v>2° Ciclo</x:v>
      </x:c>
      <x:c r="C39" t="str">
        <x:v>5° Básico</x:v>
      </x:c>
      <x:c r="D39" t="str">
        <x:v>5°D</x:v>
      </x:c>
      <x:c r="E39" s="12" t="n">
        <x:v>38</x:v>
      </x:c>
      <x:c r="F39" s="13"/>
      <x:c r="G39" s="13" t="n">
        <x:v>48.1</x:v>
      </x:c>
      <x:c r="H39" s="13" t="str">
        <x:f>IF(OR(F39="",G39=""),"",G39-F39)</x:f>
      </x:c>
      <x:c r="I39" t="str">
        <x:f>IF(G39&lt;50,"NL",IF(G39&lt;66.7,"PL","L"))</x:f>
        <x:v>NL</x:v>
      </x:c>
      <x:c r="J39" t="str">
        <x:v>Formación Ciudadana</x:v>
      </x:c>
      <x:c r="K39" s="13" t="n">
        <x:v>81.4</x:v>
      </x:c>
      <x:c r="L39" t="str">
        <x:v>Historia</x:v>
      </x:c>
      <x:c r="M39" s="13" t="n">
        <x:v>14.3</x:v>
      </x:c>
      <x:c r="N39" t="str">
        <x:v>HISTORIA_GEOGRAFIA_y_CIENCIAS_SOCIALES__5-D__planilla.xlsx</x:v>
      </x:c>
    </x:row>
    <x:row r="40">
      <x:c r="A40" t="str">
        <x:v>Lectura</x:v>
      </x:c>
      <x:c r="B40" t="str">
        <x:v>2° Ciclo</x:v>
      </x:c>
      <x:c r="C40" t="str">
        <x:v>6° Básico</x:v>
      </x:c>
      <x:c r="D40" t="str">
        <x:v>6°A</x:v>
      </x:c>
      <x:c r="E40" s="12" t="n">
        <x:v>37</x:v>
      </x:c>
      <x:c r="F40" s="13" t="n">
        <x:v>51.3</x:v>
      </x:c>
      <x:c r="G40" s="13" t="n">
        <x:v>61.9</x:v>
      </x:c>
      <x:c r="H40" s="13" t="n">
        <x:f>IF(OR(F40="",G40=""),"",G40-F40)</x:f>
        <x:v>10.600000000000001</x:v>
      </x:c>
      <x:c r="I40" t="str">
        <x:f>IF(G40&lt;50,"NL",IF(G40&lt;66.7,"PL","L"))</x:f>
        <x:v>PL</x:v>
      </x:c>
      <x:c r="J40" t="str">
        <x:v>Reflexionar</x:v>
      </x:c>
      <x:c r="K40" s="13" t="n">
        <x:v>73.6</x:v>
      </x:c>
      <x:c r="L40" t="str">
        <x:v>Interpretar y relacionar</x:v>
      </x:c>
      <x:c r="M40" s="13" t="n">
        <x:v>51.1</x:v>
      </x:c>
      <x:c r="N40" t="str">
        <x:v>LECTURA__6-A__planilla.xlsx</x:v>
      </x:c>
    </x:row>
    <x:row r="41">
      <x:c r="A41" t="str">
        <x:v>Ciencias Naturales</x:v>
      </x:c>
      <x:c r="B41" t="str">
        <x:v>2° Ciclo</x:v>
      </x:c>
      <x:c r="C41" t="str">
        <x:v>6° Básico</x:v>
      </x:c>
      <x:c r="D41" t="str">
        <x:v>6°A</x:v>
      </x:c>
      <x:c r="E41" s="12" t="n">
        <x:v>32</x:v>
      </x:c>
      <x:c r="F41" s="13"/>
      <x:c r="G41" s="13" t="n">
        <x:v>40.1</x:v>
      </x:c>
      <x:c r="H41" s="13" t="str">
        <x:f>IF(OR(F41="",G41=""),"",G41-F41)</x:f>
      </x:c>
      <x:c r="I41" t="str">
        <x:f>IF(G41&lt;50,"NL",IF(G41&lt;66.7,"PL","L"))</x:f>
        <x:v>NL</x:v>
      </x:c>
      <x:c r="J41" t="str">
        <x:v>Ciencias de la vida</x:v>
      </x:c>
      <x:c r="K41" s="13" t="n">
        <x:v>47.9</x:v>
      </x:c>
      <x:c r="L41" t="str">
        <x:v>Ciencias de la Tierra y el Universo</x:v>
      </x:c>
      <x:c r="M41" s="13" t="n">
        <x:v>35.4</x:v>
      </x:c>
      <x:c r="N41" t="str">
        <x:v>CIENCIAS_NATURALES__6-A__planilla.xlsx</x:v>
      </x:c>
    </x:row>
    <x:row r="42">
      <x:c r="A42" t="str">
        <x:v>Historia y Cs. Sociales</x:v>
      </x:c>
      <x:c r="B42" t="str">
        <x:v>2° Ciclo</x:v>
      </x:c>
      <x:c r="C42" t="str">
        <x:v>6° Básico</x:v>
      </x:c>
      <x:c r="D42" t="str">
        <x:v>6°A</x:v>
      </x:c>
      <x:c r="E42" s="12" t="n">
        <x:v>34</x:v>
      </x:c>
      <x:c r="F42" s="13"/>
      <x:c r="G42" s="13" t="n">
        <x:v>26.3</x:v>
      </x:c>
      <x:c r="H42" s="13" t="str">
        <x:f>IF(OR(F42="",G42=""),"",G42-F42)</x:f>
      </x:c>
      <x:c r="I42" t="str">
        <x:f>IF(G42&lt;50,"NL",IF(G42&lt;66.7,"PL","L"))</x:f>
        <x:v>NL</x:v>
      </x:c>
      <x:c r="J42" t="str">
        <x:v>Geografía</x:v>
      </x:c>
      <x:c r="K42" s="13" t="n">
        <x:v>27.9</x:v>
      </x:c>
      <x:c r="L42" t="str">
        <x:v>Formación Ciudadana</x:v>
      </x:c>
      <x:c r="M42" s="13" t="n">
        <x:v>24.7</x:v>
      </x:c>
      <x:c r="N42" t="str">
        <x:v>HISTORIA_GEOGRAFIA_y_CIENCIAS_SOCIALES__6-A__planilla.xlsx</x:v>
      </x:c>
    </x:row>
    <x:row r="43">
      <x:c r="A43" t="str">
        <x:v>Lectura</x:v>
      </x:c>
      <x:c r="B43" t="str">
        <x:v>2° Ciclo</x:v>
      </x:c>
      <x:c r="C43" t="str">
        <x:v>6° Básico</x:v>
      </x:c>
      <x:c r="D43" t="str">
        <x:v>6°B</x:v>
      </x:c>
      <x:c r="E43" s="12" t="n">
        <x:v>40</x:v>
      </x:c>
      <x:c r="F43" s="13" t="n">
        <x:v>51.2</x:v>
      </x:c>
      <x:c r="G43" s="13" t="n">
        <x:v>57.1</x:v>
      </x:c>
      <x:c r="H43" s="13" t="n">
        <x:f>IF(OR(F43="",G43=""),"",G43-F43)</x:f>
        <x:v>5.899999999999999</x:v>
      </x:c>
      <x:c r="I43" t="str">
        <x:f>IF(G43&lt;50,"NL",IF(G43&lt;66.7,"PL","L"))</x:f>
        <x:v>PL</x:v>
      </x:c>
      <x:c r="J43" t="str">
        <x:v>Reflexionar</x:v>
      </x:c>
      <x:c r="K43" s="13" t="n">
        <x:v>75.3</x:v>
      </x:c>
      <x:c r="L43" t="str">
        <x:v>Interpretar y relacionar</x:v>
      </x:c>
      <x:c r="M43" s="13" t="n">
        <x:v>45</x:v>
      </x:c>
      <x:c r="N43" t="str">
        <x:v>LECTURA__6-B__planilla.xlsx</x:v>
      </x:c>
    </x:row>
    <x:row r="44">
      <x:c r="A44" t="str">
        <x:v>Ciencias Naturales</x:v>
      </x:c>
      <x:c r="B44" t="str">
        <x:v>2° Ciclo</x:v>
      </x:c>
      <x:c r="C44" t="str">
        <x:v>6° Básico</x:v>
      </x:c>
      <x:c r="D44" t="str">
        <x:v>6°B</x:v>
      </x:c>
      <x:c r="E44" s="12" t="n">
        <x:v>35</x:v>
      </x:c>
      <x:c r="F44" s="13"/>
      <x:c r="G44" s="13" t="n">
        <x:v>42</x:v>
      </x:c>
      <x:c r="H44" s="13" t="str">
        <x:f>IF(OR(F44="",G44=""),"",G44-F44)</x:f>
      </x:c>
      <x:c r="I44" t="str">
        <x:f>IF(G44&lt;50,"NL",IF(G44&lt;66.7,"PL","L"))</x:f>
        <x:v>NL</x:v>
      </x:c>
      <x:c r="J44" t="str">
        <x:v>Ciencias de la vida</x:v>
      </x:c>
      <x:c r="K44" s="13" t="n">
        <x:v>50.4</x:v>
      </x:c>
      <x:c r="L44" t="str">
        <x:v>Ciencias de la Tierra y el Universo</x:v>
      </x:c>
      <x:c r="M44" s="13" t="n">
        <x:v>33.3</x:v>
      </x:c>
      <x:c r="N44" t="str">
        <x:v>CIENCIAS_NATURALES__6-B__planilla.xlsx</x:v>
      </x:c>
    </x:row>
    <x:row r="45">
      <x:c r="A45" t="str">
        <x:v>Historia y Cs. Sociales</x:v>
      </x:c>
      <x:c r="B45" t="str">
        <x:v>2° Ciclo</x:v>
      </x:c>
      <x:c r="C45" t="str">
        <x:v>6° Básico</x:v>
      </x:c>
      <x:c r="D45" t="str">
        <x:v>6°B</x:v>
      </x:c>
      <x:c r="E45" s="12" t="n">
        <x:v>38</x:v>
      </x:c>
      <x:c r="F45" s="13"/>
      <x:c r="G45" s="13" t="n">
        <x:v>24.6</x:v>
      </x:c>
      <x:c r="H45" s="13" t="str">
        <x:f>IF(OR(F45="",G45=""),"",G45-F45)</x:f>
      </x:c>
      <x:c r="I45" t="str">
        <x:f>IF(G45&lt;50,"NL",IF(G45&lt;66.7,"PL","L"))</x:f>
        <x:v>NL</x:v>
      </x:c>
      <x:c r="J45" t="str">
        <x:v>Historia</x:v>
      </x:c>
      <x:c r="K45" s="13" t="n">
        <x:v>28.3</x:v>
      </x:c>
      <x:c r="L45" t="str">
        <x:v>Formación Ciudadana</x:v>
      </x:c>
      <x:c r="M45" s="13" t="n">
        <x:v>22.5</x:v>
      </x:c>
      <x:c r="N45" t="str">
        <x:v>HISTORIA_GEOGRAFIA_y_CIENCIAS_SOCIALES__6-B__planilla.xlsx</x:v>
      </x:c>
    </x:row>
    <x:row r="46">
      <x:c r="A46" t="str">
        <x:v>Lectura</x:v>
      </x:c>
      <x:c r="B46" t="str">
        <x:v>2° Ciclo</x:v>
      </x:c>
      <x:c r="C46" t="str">
        <x:v>6° Básico</x:v>
      </x:c>
      <x:c r="D46" t="str">
        <x:v>6°C</x:v>
      </x:c>
      <x:c r="E46" s="12" t="n">
        <x:v>38</x:v>
      </x:c>
      <x:c r="F46" s="13" t="n">
        <x:v>48.6</x:v>
      </x:c>
      <x:c r="G46" s="13" t="n">
        <x:v>53.7</x:v>
      </x:c>
      <x:c r="H46" s="13" t="n">
        <x:f>IF(OR(F46="",G46=""),"",G46-F46)</x:f>
        <x:v>5.100000000000001</x:v>
      </x:c>
      <x:c r="I46" t="str">
        <x:f>IF(G46&lt;50,"NL",IF(G46&lt;66.7,"PL","L"))</x:f>
        <x:v>PL</x:v>
      </x:c>
      <x:c r="J46" t="str">
        <x:v>Reflexionar</x:v>
      </x:c>
      <x:c r="K46" s="13" t="n">
        <x:v>75.7</x:v>
      </x:c>
      <x:c r="L46" t="str">
        <x:v>Interpretar y relacionar</x:v>
      </x:c>
      <x:c r="M46" s="13" t="n">
        <x:v>41.8</x:v>
      </x:c>
      <x:c r="N46" t="str">
        <x:v>LECTURA__6-C__planilla.xlsx</x:v>
      </x:c>
    </x:row>
    <x:row r="47">
      <x:c r="A47" t="str">
        <x:v>Matemática</x:v>
      </x:c>
      <x:c r="B47" t="str">
        <x:v>2° Ciclo</x:v>
      </x:c>
      <x:c r="C47" t="str">
        <x:v>6° Básico</x:v>
      </x:c>
      <x:c r="D47" t="str">
        <x:v>6°C</x:v>
      </x:c>
      <x:c r="E47" s="12" t="n">
        <x:v>31</x:v>
      </x:c>
      <x:c r="F47" s="13" t="n">
        <x:v>41.8</x:v>
      </x:c>
      <x:c r="G47" s="13" t="n">
        <x:v>24.9</x:v>
      </x:c>
      <x:c r="H47" s="13" t="n">
        <x:f>IF(OR(F47="",G47=""),"",G47-F47)</x:f>
        <x:v>-16.9</x:v>
      </x:c>
      <x:c r="I47" t="str">
        <x:f>IF(G47&lt;50,"NL",IF(G47&lt;66.7,"PL","L"))</x:f>
        <x:v>NL</x:v>
      </x:c>
      <x:c r="J47" t="str">
        <x:v>Números y operaciones</x:v>
      </x:c>
      <x:c r="K47" s="13" t="n">
        <x:v>32</x:v>
      </x:c>
      <x:c r="L47" t="str">
        <x:v>Geometría</x:v>
      </x:c>
      <x:c r="M47" s="13" t="n">
        <x:v>19.9</x:v>
      </x:c>
      <x:c r="N47" t="str">
        <x:v>MATEMATICA__6-C__planilla.xlsx</x:v>
      </x:c>
    </x:row>
    <x:row r="48">
      <x:c r="A48" t="str">
        <x:v>Ciencias Naturales</x:v>
      </x:c>
      <x:c r="B48" t="str">
        <x:v>2° Ciclo</x:v>
      </x:c>
      <x:c r="C48" t="str">
        <x:v>6° Básico</x:v>
      </x:c>
      <x:c r="D48" t="str">
        <x:v>6°C</x:v>
      </x:c>
      <x:c r="E48" s="12" t="n">
        <x:v>30</x:v>
      </x:c>
      <x:c r="F48" s="13"/>
      <x:c r="G48" s="13" t="n">
        <x:v>36.5</x:v>
      </x:c>
      <x:c r="H48" s="13" t="str">
        <x:f>IF(OR(F48="",G48=""),"",G48-F48)</x:f>
      </x:c>
      <x:c r="I48" t="str">
        <x:f>IF(G48&lt;50,"NL",IF(G48&lt;66.7,"PL","L"))</x:f>
        <x:v>NL</x:v>
      </x:c>
      <x:c r="J48" t="str">
        <x:v>Ciencias de la vida</x:v>
      </x:c>
      <x:c r="K48" s="13" t="n">
        <x:v>49.2</x:v>
      </x:c>
      <x:c r="L48" t="str">
        <x:v>Ciencias de la Tierra y el Universo</x:v>
      </x:c>
      <x:c r="M48" s="13" t="n">
        <x:v>28.9</x:v>
      </x:c>
      <x:c r="N48" t="str">
        <x:v>CIENCIAS_NATURALES__6-C__planilla.xlsx</x:v>
      </x:c>
    </x:row>
    <x:row r="49">
      <x:c r="A49" t="str">
        <x:v>Historia y Cs. Sociales</x:v>
      </x:c>
      <x:c r="B49" t="str">
        <x:v>2° Ciclo</x:v>
      </x:c>
      <x:c r="C49" t="str">
        <x:v>6° Básico</x:v>
      </x:c>
      <x:c r="D49" t="str">
        <x:v>6°C</x:v>
      </x:c>
      <x:c r="E49" s="12" t="n">
        <x:v>32</x:v>
      </x:c>
      <x:c r="F49" s="13"/>
      <x:c r="G49" s="13" t="n">
        <x:v>29.6</x:v>
      </x:c>
      <x:c r="H49" s="13" t="str">
        <x:f>IF(OR(F49="",G49=""),"",G49-F49)</x:f>
      </x:c>
      <x:c r="I49" t="str">
        <x:f>IF(G49&lt;50,"NL",IF(G49&lt;66.7,"PL","L"))</x:f>
        <x:v>NL</x:v>
      </x:c>
      <x:c r="J49" t="str">
        <x:v>Formación Ciudadana</x:v>
      </x:c>
      <x:c r="K49" s="13" t="n">
        <x:v>37.4</x:v>
      </x:c>
      <x:c r="L49" t="str">
        <x:v>Geografía</x:v>
      </x:c>
      <x:c r="M49" s="13" t="n">
        <x:v>20</x:v>
      </x:c>
      <x:c r="N49" t="str">
        <x:v>HISTORIA_GEOGRAFIA_y_CIENCIAS_SOCIALES__6-C__planilla.xlsx</x:v>
      </x:c>
    </x:row>
    <x:row r="50">
      <x:c r="A50" t="str">
        <x:v>Lectura</x:v>
      </x:c>
      <x:c r="B50" t="str">
        <x:v>2° Ciclo</x:v>
      </x:c>
      <x:c r="C50" t="str">
        <x:v>6° Básico</x:v>
      </x:c>
      <x:c r="D50" t="str">
        <x:v>6°D</x:v>
      </x:c>
      <x:c r="E50" s="12" t="n">
        <x:v>40</x:v>
      </x:c>
      <x:c r="F50" s="13" t="n">
        <x:v>51.6</x:v>
      </x:c>
      <x:c r="G50" s="13" t="n">
        <x:v>56.7</x:v>
      </x:c>
      <x:c r="H50" s="13" t="n">
        <x:f>IF(OR(F50="",G50=""),"",G50-F50)</x:f>
        <x:v>5.100000000000001</x:v>
      </x:c>
      <x:c r="I50" t="str">
        <x:f>IF(G50&lt;50,"NL",IF(G50&lt;66.7,"PL","L"))</x:f>
        <x:v>PL</x:v>
      </x:c>
      <x:c r="J50" t="str">
        <x:v>Reflexionar</x:v>
      </x:c>
      <x:c r="K50" s="13" t="n">
        <x:v>66.9</x:v>
      </x:c>
      <x:c r="L50" t="str">
        <x:v>Interpretar y relacionar</x:v>
      </x:c>
      <x:c r="M50" s="13" t="n">
        <x:v>49.2</x:v>
      </x:c>
      <x:c r="N50" t="str">
        <x:v>LECTURA__6-D__planilla.xlsx</x:v>
      </x:c>
    </x:row>
    <x:row r="51">
      <x:c r="A51" t="str">
        <x:v>Matemática</x:v>
      </x:c>
      <x:c r="B51" t="str">
        <x:v>2° Ciclo</x:v>
      </x:c>
      <x:c r="C51" t="str">
        <x:v>6° Básico</x:v>
      </x:c>
      <x:c r="D51" t="str">
        <x:v>6°D</x:v>
      </x:c>
      <x:c r="E51" s="12" t="n">
        <x:v>38</x:v>
      </x:c>
      <x:c r="F51" s="13" t="n">
        <x:v>46</x:v>
      </x:c>
      <x:c r="G51" s="13" t="n">
        <x:v>30.3</x:v>
      </x:c>
      <x:c r="H51" s="13" t="n">
        <x:f>IF(OR(F51="",G51=""),"",G51-F51)</x:f>
        <x:v>-15.7</x:v>
      </x:c>
      <x:c r="I51" t="str">
        <x:f>IF(G51&lt;50,"NL",IF(G51&lt;66.7,"PL","L"))</x:f>
        <x:v>NL</x:v>
      </x:c>
      <x:c r="J51" t="str">
        <x:v>Números y operaciones</x:v>
      </x:c>
      <x:c r="K51" s="13" t="n">
        <x:v>35.3</x:v>
      </x:c>
      <x:c r="L51" t="str">
        <x:v>Geometría</x:v>
      </x:c>
      <x:c r="M51" s="13" t="n">
        <x:v>27.9</x:v>
      </x:c>
      <x:c r="N51" t="str">
        <x:v>MATEMATICA__6-D__planilla.xlsx</x:v>
      </x:c>
    </x:row>
    <x:row r="52">
      <x:c r="A52" t="str">
        <x:v>Ciencias Naturales</x:v>
      </x:c>
      <x:c r="B52" t="str">
        <x:v>2° Ciclo</x:v>
      </x:c>
      <x:c r="C52" t="str">
        <x:v>6° Básico</x:v>
      </x:c>
      <x:c r="D52" t="str">
        <x:v>6°D</x:v>
      </x:c>
      <x:c r="E52" s="12" t="n">
        <x:v>33</x:v>
      </x:c>
      <x:c r="F52" s="13"/>
      <x:c r="G52" s="13" t="n">
        <x:v>36.7</x:v>
      </x:c>
      <x:c r="H52" s="13" t="str">
        <x:f>IF(OR(F52="",G52=""),"",G52-F52)</x:f>
      </x:c>
      <x:c r="I52" t="str">
        <x:f>IF(G52&lt;50,"NL",IF(G52&lt;66.7,"PL","L"))</x:f>
        <x:v>NL</x:v>
      </x:c>
      <x:c r="J52" t="str">
        <x:v>Ciencias de la vida</x:v>
      </x:c>
      <x:c r="K52" s="13" t="n">
        <x:v>45.8</x:v>
      </x:c>
      <x:c r="L52" t="str">
        <x:v>Ciencias de la Tierra y el Universo</x:v>
      </x:c>
      <x:c r="M52" s="13" t="n">
        <x:v>30.8</x:v>
      </x:c>
      <x:c r="N52" t="str">
        <x:v>CIENCIAS_NATURALES__6-D__planilla.xlsx</x:v>
      </x:c>
    </x:row>
    <x:row r="53">
      <x:c r="A53" t="str">
        <x:v>Historia y Cs. Sociales</x:v>
      </x:c>
      <x:c r="B53" t="str">
        <x:v>2° Ciclo</x:v>
      </x:c>
      <x:c r="C53" t="str">
        <x:v>6° Básico</x:v>
      </x:c>
      <x:c r="D53" t="str">
        <x:v>6°D</x:v>
      </x:c>
      <x:c r="E53" s="12" t="n">
        <x:v>35</x:v>
      </x:c>
      <x:c r="F53" s="13"/>
      <x:c r="G53" s="13" t="n">
        <x:v>31</x:v>
      </x:c>
      <x:c r="H53" s="13" t="str">
        <x:f>IF(OR(F53="",G53=""),"",G53-F53)</x:f>
      </x:c>
      <x:c r="I53" t="str">
        <x:f>IF(G53&lt;50,"NL",IF(G53&lt;66.7,"PL","L"))</x:f>
        <x:v>NL</x:v>
      </x:c>
      <x:c r="J53" t="str">
        <x:v>Formación Ciudadana</x:v>
      </x:c>
      <x:c r="K53" s="13" t="n">
        <x:v>42.1</x:v>
      </x:c>
      <x:c r="L53" t="str">
        <x:v>Geografía</x:v>
      </x:c>
      <x:c r="M53" s="13" t="n">
        <x:v>22.9</x:v>
      </x:c>
      <x:c r="N53" t="str">
        <x:v>HISTORIA_GEOGRAFIA_y_CIENCIAS_SOCIALES__6-D__planilla.xlsx</x:v>
      </x:c>
    </x:row>
    <x:row r="54">
      <x:c r="A54" t="str">
        <x:v>Lectura</x:v>
      </x:c>
      <x:c r="B54" t="str">
        <x:v>2° Ciclo</x:v>
      </x:c>
      <x:c r="C54" t="str">
        <x:v>6° Básico</x:v>
      </x:c>
      <x:c r="D54" t="str">
        <x:v>6°G</x:v>
      </x:c>
      <x:c r="E54" s="12" t="n">
        <x:v>32</x:v>
      </x:c>
      <x:c r="F54" s="13"/>
      <x:c r="G54" s="13" t="n">
        <x:v>49.1</x:v>
      </x:c>
      <x:c r="H54" s="13" t="str">
        <x:f>IF(OR(F54="",G54=""),"",G54-F54)</x:f>
      </x:c>
      <x:c r="I54" t="str">
        <x:f>IF(G54&lt;50,"NL",IF(G54&lt;66.7,"PL","L"))</x:f>
        <x:v>NL</x:v>
      </x:c>
      <x:c r="J54" t="str">
        <x:v>Reflexionar</x:v>
      </x:c>
      <x:c r="K54" s="13" t="n">
        <x:v>62.5</x:v>
      </x:c>
      <x:c r="L54" t="str">
        <x:v>Interpretar y relacionar</x:v>
      </x:c>
      <x:c r="M54" s="13" t="n">
        <x:v>39.3</x:v>
      </x:c>
      <x:c r="N54" t="str">
        <x:v>LECTURA__6-G__planilla.xlsx</x:v>
      </x:c>
    </x:row>
    <x:row r="55">
      <x:c r="A55" t="str">
        <x:v>Matemática</x:v>
      </x:c>
      <x:c r="B55" t="str">
        <x:v>2° Ciclo</x:v>
      </x:c>
      <x:c r="C55" t="str">
        <x:v>6° Básico</x:v>
      </x:c>
      <x:c r="D55" t="str">
        <x:v>6°G</x:v>
      </x:c>
      <x:c r="E55" s="12" t="n">
        <x:v>34</x:v>
      </x:c>
      <x:c r="F55" s="13"/>
      <x:c r="G55" s="13" t="n">
        <x:v>33.5</x:v>
      </x:c>
      <x:c r="H55" s="13" t="str">
        <x:f>IF(OR(F55="",G55=""),"",G55-F55)</x:f>
      </x:c>
      <x:c r="I55" t="str">
        <x:f>IF(G55&lt;50,"NL",IF(G55&lt;66.7,"PL","L"))</x:f>
        <x:v>NL</x:v>
      </x:c>
      <x:c r="J55" t="str">
        <x:v>Datos y probabilidades</x:v>
      </x:c>
      <x:c r="K55" s="13" t="n">
        <x:v>55</x:v>
      </x:c>
      <x:c r="L55" t="str">
        <x:v>Geometría</x:v>
      </x:c>
      <x:c r="M55" s="13" t="n">
        <x:v>19.6</x:v>
      </x:c>
      <x:c r="N55" t="str">
        <x:v>MATEMATICA__6-G__planilla.xlsx</x:v>
      </x:c>
    </x:row>
    <x:row r="56">
      <x:c r="A56" t="str">
        <x:v>Historia y Cs. Sociales</x:v>
      </x:c>
      <x:c r="B56" t="str">
        <x:v>2° Ciclo</x:v>
      </x:c>
      <x:c r="C56" t="str">
        <x:v>6° Básico</x:v>
      </x:c>
      <x:c r="D56" t="str">
        <x:v>6°G</x:v>
      </x:c>
      <x:c r="E56" s="12" t="n">
        <x:v>35</x:v>
      </x:c>
      <x:c r="F56" s="13"/>
      <x:c r="G56" s="13" t="n">
        <x:v>33.1</x:v>
      </x:c>
      <x:c r="H56" s="13" t="str">
        <x:f>IF(OR(F56="",G56=""),"",G56-F56)</x:f>
      </x:c>
      <x:c r="I56" t="str">
        <x:f>IF(G56&lt;50,"NL",IF(G56&lt;66.7,"PL","L"))</x:f>
        <x:v>NL</x:v>
      </x:c>
      <x:c r="J56" t="str">
        <x:v>Formación Ciudadana</x:v>
      </x:c>
      <x:c r="K56" s="13" t="n">
        <x:v>34.4</x:v>
      </x:c>
      <x:c r="L56" t="str">
        <x:v>Geografía</x:v>
      </x:c>
      <x:c r="M56" s="13" t="n">
        <x:v>31.9</x:v>
      </x:c>
      <x:c r="N56" t="str">
        <x:v>HISTORIA_GEOGRAFIA_y_CIENCIAS_SOCIALES__6-G__planilla.xlsx</x:v>
      </x:c>
    </x:row>
    <x:row r="57">
      <x:c r="A57" t="str">
        <x:v>Lectura</x:v>
      </x:c>
      <x:c r="B57" t="str">
        <x:v>2° Ciclo</x:v>
      </x:c>
      <x:c r="C57" t="str">
        <x:v>7° Básico</x:v>
      </x:c>
      <x:c r="D57" t="str">
        <x:v>7°A</x:v>
      </x:c>
      <x:c r="E57" s="12" t="n">
        <x:v>32</x:v>
      </x:c>
      <x:c r="F57" s="13" t="n">
        <x:v>43.7</x:v>
      </x:c>
      <x:c r="G57" s="13" t="n">
        <x:v>44.9</x:v>
      </x:c>
      <x:c r="H57" s="13" t="n">
        <x:f>IF(OR(F57="",G57=""),"",G57-F57)</x:f>
        <x:v>1.1999999999999957</x:v>
      </x:c>
      <x:c r="I57" t="str">
        <x:f>IF(G57&lt;50,"NL",IF(G57&lt;66.7,"PL","L"))</x:f>
        <x:v>NL</x:v>
      </x:c>
      <x:c r="J57" t="str">
        <x:v>Localizar</x:v>
      </x:c>
      <x:c r="K57" s="13" t="n">
        <x:v>50</x:v>
      </x:c>
      <x:c r="L57" t="str">
        <x:v>Reflexionar</x:v>
      </x:c>
      <x:c r="M57" s="13" t="n">
        <x:v>39.3</x:v>
      </x:c>
      <x:c r="N57" t="str">
        <x:v>LECTURA__7-A__planilla.xlsx</x:v>
      </x:c>
    </x:row>
    <x:row r="58">
      <x:c r="A58" t="str">
        <x:v>Matemática</x:v>
      </x:c>
      <x:c r="B58" t="str">
        <x:v>2° Ciclo</x:v>
      </x:c>
      <x:c r="C58" t="str">
        <x:v>7° Básico</x:v>
      </x:c>
      <x:c r="D58" t="str">
        <x:v>7°A</x:v>
      </x:c>
      <x:c r="E58" s="12" t="n">
        <x:v>29</x:v>
      </x:c>
      <x:c r="F58" s="13" t="n">
        <x:v>38.5</x:v>
      </x:c>
      <x:c r="G58" s="13" t="n">
        <x:v>33.4</x:v>
      </x:c>
      <x:c r="H58" s="13" t="n">
        <x:f>IF(OR(F58="",G58=""),"",G58-F58)</x:f>
        <x:v>-5.100000000000001</x:v>
      </x:c>
      <x:c r="I58" t="str">
        <x:f>IF(G58&lt;50,"NL",IF(G58&lt;66.7,"PL","L"))</x:f>
        <x:v>NL</x:v>
      </x:c>
      <x:c r="J58" t="str">
        <x:v>Números</x:v>
      </x:c>
      <x:c r="K58" s="13" t="n">
        <x:v>39</x:v>
      </x:c>
      <x:c r="L58" t="str">
        <x:v>Geometría</x:v>
      </x:c>
      <x:c r="M58" s="13" t="n">
        <x:v>28.4</x:v>
      </x:c>
      <x:c r="N58" t="str">
        <x:v>MATEMATICA__7-A__planilla.xlsx</x:v>
      </x:c>
    </x:row>
    <x:row r="59">
      <x:c r="A59" t="str">
        <x:v>Ciencias Naturales</x:v>
      </x:c>
      <x:c r="B59" t="str">
        <x:v>2° Ciclo</x:v>
      </x:c>
      <x:c r="C59" t="str">
        <x:v>7° Básico</x:v>
      </x:c>
      <x:c r="D59" t="str">
        <x:v>7°A</x:v>
      </x:c>
      <x:c r="E59" s="12" t="n">
        <x:v>34</x:v>
      </x:c>
      <x:c r="F59" s="13"/>
      <x:c r="G59" s="13" t="n">
        <x:v>37.9</x:v>
      </x:c>
      <x:c r="H59" s="13" t="str">
        <x:f>IF(OR(F59="",G59=""),"",G59-F59)</x:f>
      </x:c>
      <x:c r="I59" t="str">
        <x:f>IF(G59&lt;50,"NL",IF(G59&lt;66.7,"PL","L"))</x:f>
        <x:v>NL</x:v>
      </x:c>
      <x:c r="J59" t="str">
        <x:v>Química</x:v>
      </x:c>
      <x:c r="K59" s="13" t="n">
        <x:v>42.2</x:v>
      </x:c>
      <x:c r="L59" t="str">
        <x:v>Biología</x:v>
      </x:c>
      <x:c r="M59" s="13" t="n">
        <x:v>35.3</x:v>
      </x:c>
      <x:c r="N59" t="str">
        <x:v>CIENCIAS_NATURALES__7-A__planilla.xlsx</x:v>
      </x:c>
    </x:row>
    <x:row r="60">
      <x:c r="A60" t="str">
        <x:v>Historia y Cs. Sociales</x:v>
      </x:c>
      <x:c r="B60" t="str">
        <x:v>2° Ciclo</x:v>
      </x:c>
      <x:c r="C60" t="str">
        <x:v>7° Básico</x:v>
      </x:c>
      <x:c r="D60" t="str">
        <x:v>7°A</x:v>
      </x:c>
      <x:c r="E60" s="12" t="n">
        <x:v>29</x:v>
      </x:c>
      <x:c r="F60" s="13"/>
      <x:c r="G60" s="13" t="n">
        <x:v>26.6</x:v>
      </x:c>
      <x:c r="H60" s="13" t="str">
        <x:f>IF(OR(F60="",G60=""),"",G60-F60)</x:f>
      </x:c>
      <x:c r="I60" t="str">
        <x:f>IF(G60&lt;50,"NL",IF(G60&lt;66.7,"PL","L"))</x:f>
        <x:v>NL</x:v>
      </x:c>
      <x:c r="J60" t="str">
        <x:v>Historia</x:v>
      </x:c>
      <x:c r="K60" s="13" t="n">
        <x:v>32.4</x:v>
      </x:c>
      <x:c r="L60" t="str">
        <x:v>Formación Ciudadana</x:v>
      </x:c>
      <x:c r="M60" s="13" t="n">
        <x:v>23.4</x:v>
      </x:c>
      <x:c r="N60" t="str">
        <x:v>HISTORIA_GEOGRAFIA_y_CIENCIAS_SOCIALES__7-A__planilla.xlsx</x:v>
      </x:c>
    </x:row>
    <x:row r="61">
      <x:c r="A61" t="str">
        <x:v>Lectura</x:v>
      </x:c>
      <x:c r="B61" t="str">
        <x:v>2° Ciclo</x:v>
      </x:c>
      <x:c r="C61" t="str">
        <x:v>7° Básico</x:v>
      </x:c>
      <x:c r="D61" t="str">
        <x:v>7°B</x:v>
      </x:c>
      <x:c r="E61" s="12" t="n">
        <x:v>32</x:v>
      </x:c>
      <x:c r="F61" s="13" t="n">
        <x:v>47.1</x:v>
      </x:c>
      <x:c r="G61" s="13" t="n">
        <x:v>50.5</x:v>
      </x:c>
      <x:c r="H61" s="13" t="n">
        <x:f>IF(OR(F61="",G61=""),"",G61-F61)</x:f>
        <x:v>3.3999999999999986</x:v>
      </x:c>
      <x:c r="I61" t="str">
        <x:f>IF(G61&lt;50,"NL",IF(G61&lt;66.7,"PL","L"))</x:f>
        <x:v>PL</x:v>
      </x:c>
      <x:c r="J61" t="str">
        <x:v>Localizar</x:v>
      </x:c>
      <x:c r="K61" s="13" t="n">
        <x:v>57.8</x:v>
      </x:c>
      <x:c r="L61" t="str">
        <x:v>Reflexionar</x:v>
      </x:c>
      <x:c r="M61" s="13" t="n">
        <x:v>37.7</x:v>
      </x:c>
      <x:c r="N61" t="str">
        <x:v>LECTURA__7-B__planilla.xlsx</x:v>
      </x:c>
    </x:row>
    <x:row r="62">
      <x:c r="A62" t="str">
        <x:v>Matemática</x:v>
      </x:c>
      <x:c r="B62" t="str">
        <x:v>2° Ciclo</x:v>
      </x:c>
      <x:c r="C62" t="str">
        <x:v>7° Básico</x:v>
      </x:c>
      <x:c r="D62" t="str">
        <x:v>7°B</x:v>
      </x:c>
      <x:c r="E62" s="12" t="n">
        <x:v>31</x:v>
      </x:c>
      <x:c r="F62" s="13" t="n">
        <x:v>42.8</x:v>
      </x:c>
      <x:c r="G62" s="13" t="n">
        <x:v>33</x:v>
      </x:c>
      <x:c r="H62" s="13" t="n">
        <x:f>IF(OR(F62="",G62=""),"",G62-F62)</x:f>
        <x:v>-9.799999999999997</x:v>
      </x:c>
      <x:c r="I62" t="str">
        <x:f>IF(G62&lt;50,"NL",IF(G62&lt;66.7,"PL","L"))</x:f>
        <x:v>NL</x:v>
      </x:c>
      <x:c r="J62" t="str">
        <x:v>Probabilidad y estadística</x:v>
      </x:c>
      <x:c r="K62" s="13" t="n">
        <x:v>44</x:v>
      </x:c>
      <x:c r="L62" t="str">
        <x:v>Geometría</x:v>
      </x:c>
      <x:c r="M62" s="13" t="n">
        <x:v>9</x:v>
      </x:c>
      <x:c r="N62" t="str">
        <x:v>MATEMATICA__7-B__planilla.xlsx</x:v>
      </x:c>
    </x:row>
    <x:row r="63">
      <x:c r="A63" t="str">
        <x:v>Ciencias Naturales</x:v>
      </x:c>
      <x:c r="B63" t="str">
        <x:v>2° Ciclo</x:v>
      </x:c>
      <x:c r="C63" t="str">
        <x:v>7° Básico</x:v>
      </x:c>
      <x:c r="D63" t="str">
        <x:v>7°B</x:v>
      </x:c>
      <x:c r="E63" s="12" t="n">
        <x:v>30</x:v>
      </x:c>
      <x:c r="F63" s="13"/>
      <x:c r="G63" s="13" t="n">
        <x:v>34.2</x:v>
      </x:c>
      <x:c r="H63" s="13" t="str">
        <x:f>IF(OR(F63="",G63=""),"",G63-F63)</x:f>
      </x:c>
      <x:c r="I63" t="str">
        <x:f>IF(G63&lt;50,"NL",IF(G63&lt;66.7,"PL","L"))</x:f>
        <x:v>NL</x:v>
      </x:c>
      <x:c r="J63" t="str">
        <x:v>Química</x:v>
      </x:c>
      <x:c r="K63" s="13" t="n">
        <x:v>36.1</x:v>
      </x:c>
      <x:c r="L63" t="str">
        <x:v>Física</x:v>
      </x:c>
      <x:c r="M63" s="13" t="n">
        <x:v>33</x:v>
      </x:c>
      <x:c r="N63" t="str">
        <x:v>CIENCIAS_NATURALES__7-B__planilla.xlsx</x:v>
      </x:c>
    </x:row>
    <x:row r="64">
      <x:c r="A64" t="str">
        <x:v>Historia y Cs. Sociales</x:v>
      </x:c>
      <x:c r="B64" t="str">
        <x:v>2° Ciclo</x:v>
      </x:c>
      <x:c r="C64" t="str">
        <x:v>7° Básico</x:v>
      </x:c>
      <x:c r="D64" t="str">
        <x:v>7°B</x:v>
      </x:c>
      <x:c r="E64" s="12" t="n">
        <x:v>31</x:v>
      </x:c>
      <x:c r="F64" s="13"/>
      <x:c r="G64" s="13" t="n">
        <x:v>38.8</x:v>
      </x:c>
      <x:c r="H64" s="13" t="str">
        <x:f>IF(OR(F64="",G64=""),"",G64-F64)</x:f>
      </x:c>
      <x:c r="I64" t="str">
        <x:f>IF(G64&lt;50,"NL",IF(G64&lt;66.7,"PL","L"))</x:f>
        <x:v>NL</x:v>
      </x:c>
      <x:c r="J64" t="str">
        <x:v>Historia</x:v>
      </x:c>
      <x:c r="K64" s="13" t="n">
        <x:v>43.3</x:v>
      </x:c>
      <x:c r="L64" t="str">
        <x:v>Formación Ciudadana</x:v>
      </x:c>
      <x:c r="M64" s="13" t="n">
        <x:v>33.5</x:v>
      </x:c>
      <x:c r="N64" t="str">
        <x:v>HISTORIA_GEOGRAFIA_y_CIENCIAS_SOCIALES__7-B__planilla.xlsx</x:v>
      </x:c>
    </x:row>
    <x:row r="65">
      <x:c r="A65" t="str">
        <x:v>Lectura</x:v>
      </x:c>
      <x:c r="B65" t="str">
        <x:v>2° Ciclo</x:v>
      </x:c>
      <x:c r="C65" t="str">
        <x:v>7° Básico</x:v>
      </x:c>
      <x:c r="D65" t="str">
        <x:v>7°C</x:v>
      </x:c>
      <x:c r="E65" s="12" t="n">
        <x:v>32</x:v>
      </x:c>
      <x:c r="F65" s="13" t="n">
        <x:v>62.4</x:v>
      </x:c>
      <x:c r="G65" s="13" t="n">
        <x:v>62.2</x:v>
      </x:c>
      <x:c r="H65" s="13" t="n">
        <x:f>IF(OR(F65="",G65=""),"",G65-F65)</x:f>
        <x:v>-0.19999999999999574</x:v>
      </x:c>
      <x:c r="I65" t="str">
        <x:f>IF(G65&lt;50,"NL",IF(G65&lt;66.7,"PL","L"))</x:f>
        <x:v>PL</x:v>
      </x:c>
      <x:c r="J65" t="str">
        <x:v>Localizar</x:v>
      </x:c>
      <x:c r="K65" s="13" t="n">
        <x:v>73.4</x:v>
      </x:c>
      <x:c r="L65" t="str">
        <x:v>Reflexionar</x:v>
      </x:c>
      <x:c r="M65" s="13" t="n">
        <x:v>51.8</x:v>
      </x:c>
      <x:c r="N65" t="str">
        <x:v>LECTURA__7-C__planilla.xlsx</x:v>
      </x:c>
    </x:row>
    <x:row r="66">
      <x:c r="A66" t="str">
        <x:v>Ciencias Naturales</x:v>
      </x:c>
      <x:c r="B66" t="str">
        <x:v>2° Ciclo</x:v>
      </x:c>
      <x:c r="C66" t="str">
        <x:v>7° Básico</x:v>
      </x:c>
      <x:c r="D66" t="str">
        <x:v>7°C</x:v>
      </x:c>
      <x:c r="E66" s="12" t="n">
        <x:v>29</x:v>
      </x:c>
      <x:c r="F66" s="13"/>
      <x:c r="G66" s="13" t="n">
        <x:v>42.6</x:v>
      </x:c>
      <x:c r="H66" s="13" t="str">
        <x:f>IF(OR(F66="",G66=""),"",G66-F66)</x:f>
      </x:c>
      <x:c r="I66" t="str">
        <x:f>IF(G66&lt;50,"NL",IF(G66&lt;66.7,"PL","L"))</x:f>
        <x:v>NL</x:v>
      </x:c>
      <x:c r="J66" t="str">
        <x:v>Química</x:v>
      </x:c>
      <x:c r="K66" s="13" t="n">
        <x:v>47.7</x:v>
      </x:c>
      <x:c r="L66" t="str">
        <x:v>Biología</x:v>
      </x:c>
      <x:c r="M66" s="13" t="n">
        <x:v>38.9</x:v>
      </x:c>
      <x:c r="N66" t="str">
        <x:v>CIENCIAS_NATURALES__7-C__planilla.xlsx</x:v>
      </x:c>
    </x:row>
    <x:row r="67">
      <x:c r="A67" t="str">
        <x:v>Historia y Cs. Sociales</x:v>
      </x:c>
      <x:c r="B67" t="str">
        <x:v>2° Ciclo</x:v>
      </x:c>
      <x:c r="C67" t="str">
        <x:v>7° Básico</x:v>
      </x:c>
      <x:c r="D67" t="str">
        <x:v>7°C</x:v>
      </x:c>
      <x:c r="E67" s="12" t="n">
        <x:v>34</x:v>
      </x:c>
      <x:c r="F67" s="13"/>
      <x:c r="G67" s="13" t="n">
        <x:v>63.8</x:v>
      </x:c>
      <x:c r="H67" s="13" t="str">
        <x:f>IF(OR(F67="",G67=""),"",G67-F67)</x:f>
      </x:c>
      <x:c r="I67" t="str">
        <x:f>IF(G67&lt;50,"NL",IF(G67&lt;66.7,"PL","L"))</x:f>
        <x:v>PL</x:v>
      </x:c>
      <x:c r="J67" t="str">
        <x:v>Formación Ciudadana</x:v>
      </x:c>
      <x:c r="K67" s="13" t="n">
        <x:v>68.8</x:v>
      </x:c>
      <x:c r="L67" t="str">
        <x:v>Historia</x:v>
      </x:c>
      <x:c r="M67" s="13" t="n">
        <x:v>58.4</x:v>
      </x:c>
      <x:c r="N67" t="str">
        <x:v>HISTORIA_GEOGRAFIA_y_CIENCIAS_SOCIALES__7-C__planilla.xlsx</x:v>
      </x:c>
    </x:row>
    <x:row r="68">
      <x:c r="A68" t="str">
        <x:v>Lectura</x:v>
      </x:c>
      <x:c r="B68" t="str">
        <x:v>2° Ciclo</x:v>
      </x:c>
      <x:c r="C68" t="str">
        <x:v>7° Básico</x:v>
      </x:c>
      <x:c r="D68" t="str">
        <x:v>7°D</x:v>
      </x:c>
      <x:c r="E68" s="12" t="n">
        <x:v>31</x:v>
      </x:c>
      <x:c r="F68" s="13" t="n">
        <x:v>52.4</x:v>
      </x:c>
      <x:c r="G68" s="13" t="n">
        <x:v>51.2</x:v>
      </x:c>
      <x:c r="H68" s="13" t="n">
        <x:f>IF(OR(F68="",G68=""),"",G68-F68)</x:f>
        <x:v>-1.1999999999999957</x:v>
      </x:c>
      <x:c r="I68" t="str">
        <x:f>IF(G68&lt;50,"NL",IF(G68&lt;66.7,"PL","L"))</x:f>
        <x:v>PL</x:v>
      </x:c>
      <x:c r="J68" t="str">
        <x:v>Localizar</x:v>
      </x:c>
      <x:c r="K68" s="13" t="n">
        <x:v>60.5</x:v>
      </x:c>
      <x:c r="L68" t="str">
        <x:v>Reflexionar</x:v>
      </x:c>
      <x:c r="M68" s="13" t="n">
        <x:v>41.9</x:v>
      </x:c>
      <x:c r="N68" t="str">
        <x:v>LECTURA__7-D__planilla.xlsx</x:v>
      </x:c>
    </x:row>
    <x:row r="69">
      <x:c r="A69" t="str">
        <x:v>Ciencias Naturales</x:v>
      </x:c>
      <x:c r="B69" t="str">
        <x:v>2° Ciclo</x:v>
      </x:c>
      <x:c r="C69" t="str">
        <x:v>7° Básico</x:v>
      </x:c>
      <x:c r="D69" t="str">
        <x:v>7°D</x:v>
      </x:c>
      <x:c r="E69" s="12" t="n">
        <x:v>31</x:v>
      </x:c>
      <x:c r="F69" s="13"/>
      <x:c r="G69" s="13" t="n">
        <x:v>34.9</x:v>
      </x:c>
      <x:c r="H69" s="13" t="str">
        <x:f>IF(OR(F69="",G69=""),"",G69-F69)</x:f>
      </x:c>
      <x:c r="I69" t="str">
        <x:f>IF(G69&lt;50,"NL",IF(G69&lt;66.7,"PL","L"))</x:f>
        <x:v>NL</x:v>
      </x:c>
      <x:c r="J69" t="str">
        <x:v>Química</x:v>
      </x:c>
      <x:c r="K69" s="13" t="n">
        <x:v>37.1</x:v>
      </x:c>
      <x:c r="L69" t="str">
        <x:v>Física</x:v>
      </x:c>
      <x:c r="M69" s="13" t="n">
        <x:v>32.8</x:v>
      </x:c>
      <x:c r="N69" t="str">
        <x:v>CIENCIAS_NATURALES__7-D__planilla.xlsx</x:v>
      </x:c>
    </x:row>
    <x:row r="70">
      <x:c r="A70" t="str">
        <x:v>Historia y Cs. Sociales</x:v>
      </x:c>
      <x:c r="B70" t="str">
        <x:v>2° Ciclo</x:v>
      </x:c>
      <x:c r="C70" t="str">
        <x:v>7° Básico</x:v>
      </x:c>
      <x:c r="D70" t="str">
        <x:v>7°D</x:v>
      </x:c>
      <x:c r="E70" s="12" t="n">
        <x:v>34</x:v>
      </x:c>
      <x:c r="F70" s="13"/>
      <x:c r="G70" s="13" t="n">
        <x:v>45.7</x:v>
      </x:c>
      <x:c r="H70" s="13" t="str">
        <x:f>IF(OR(F70="",G70=""),"",G70-F70)</x:f>
      </x:c>
      <x:c r="I70" t="str">
        <x:f>IF(G70&lt;50,"NL",IF(G70&lt;66.7,"PL","L"))</x:f>
        <x:v>NL</x:v>
      </x:c>
      <x:c r="J70" t="str">
        <x:v>Historia</x:v>
      </x:c>
      <x:c r="K70" s="13" t="n">
        <x:v>51.1</x:v>
      </x:c>
      <x:c r="L70" t="str">
        <x:v>Formación Ciudadana</x:v>
      </x:c>
      <x:c r="M70" s="13" t="n">
        <x:v>41.5</x:v>
      </x:c>
      <x:c r="N70" t="str">
        <x:v>HISTORIA_GEOGRAFIA_y_CIENCIAS_SOCIALES__7-D__planilla.xlsx</x:v>
      </x:c>
    </x:row>
    <x:row r="71">
      <x:c r="A71" t="str">
        <x:v>Lectura</x:v>
      </x:c>
      <x:c r="B71" t="str">
        <x:v>2° Ciclo</x:v>
      </x:c>
      <x:c r="C71" t="str">
        <x:v>8° Básico</x:v>
      </x:c>
      <x:c r="D71" t="str">
        <x:v>8°A</x:v>
      </x:c>
      <x:c r="E71" s="12" t="n">
        <x:v>31</x:v>
      </x:c>
      <x:c r="F71" s="13" t="n">
        <x:v>51.2</x:v>
      </x:c>
      <x:c r="G71" s="13" t="n">
        <x:v>40.9</x:v>
      </x:c>
      <x:c r="H71" s="13" t="n">
        <x:f>IF(OR(F71="",G71=""),"",G71-F71)</x:f>
        <x:v>-10.300000000000004</x:v>
      </x:c>
      <x:c r="I71" t="str">
        <x:f>IF(G71&lt;50,"NL",IF(G71&lt;66.7,"PL","L"))</x:f>
        <x:v>NL</x:v>
      </x:c>
      <x:c r="J71" t="str">
        <x:v>Interpretar y relacionar</x:v>
      </x:c>
      <x:c r="K71" s="13" t="n">
        <x:v>47.5</x:v>
      </x:c>
      <x:c r="L71" t="str">
        <x:v>Reflexionar</x:v>
      </x:c>
      <x:c r="M71" s="13" t="n">
        <x:v>32.5</x:v>
      </x:c>
      <x:c r="N71" t="str">
        <x:v>LECTURA__8-A__planilla.xlsx</x:v>
      </x:c>
    </x:row>
    <x:row r="72">
      <x:c r="A72" t="str">
        <x:v>Matemática</x:v>
      </x:c>
      <x:c r="B72" t="str">
        <x:v>2° Ciclo</x:v>
      </x:c>
      <x:c r="C72" t="str">
        <x:v>8° Básico</x:v>
      </x:c>
      <x:c r="D72" t="str">
        <x:v>8°A</x:v>
      </x:c>
      <x:c r="E72" s="12" t="n">
        <x:v>35</x:v>
      </x:c>
      <x:c r="F72" s="13" t="n">
        <x:v>46.9</x:v>
      </x:c>
      <x:c r="G72" s="13" t="n">
        <x:v>17.3</x:v>
      </x:c>
      <x:c r="H72" s="13" t="n">
        <x:f>IF(OR(F72="",G72=""),"",G72-F72)</x:f>
        <x:v>-29.599999999999998</x:v>
      </x:c>
      <x:c r="I72" t="str">
        <x:f>IF(G72&lt;50,"NL",IF(G72&lt;66.7,"PL","L"))</x:f>
        <x:v>NL</x:v>
      </x:c>
      <x:c r="J72" t="str">
        <x:v>Números</x:v>
      </x:c>
      <x:c r="K72" s="13" t="n">
        <x:v>32</x:v>
      </x:c>
      <x:c r="L72" t="str">
        <x:v>Probabilidad y estadística</x:v>
      </x:c>
      <x:c r="M72" s="13" t="n">
        <x:v>4.9</x:v>
      </x:c>
      <x:c r="N72" t="str">
        <x:v>MATEMATICA__8-A__planilla.xlsx</x:v>
      </x:c>
    </x:row>
    <x:row r="73">
      <x:c r="A73" t="str">
        <x:v>Ciencias Naturales</x:v>
      </x:c>
      <x:c r="B73" t="str">
        <x:v>2° Ciclo</x:v>
      </x:c>
      <x:c r="C73" t="str">
        <x:v>8° Básico</x:v>
      </x:c>
      <x:c r="D73" t="str">
        <x:v>8°A</x:v>
      </x:c>
      <x:c r="E73" s="12" t="n">
        <x:v>31</x:v>
      </x:c>
      <x:c r="F73" s="13"/>
      <x:c r="G73" s="13" t="n">
        <x:v>34.1</x:v>
      </x:c>
      <x:c r="H73" s="13" t="str">
        <x:f>IF(OR(F73="",G73=""),"",G73-F73)</x:f>
      </x:c>
      <x:c r="I73" t="str">
        <x:f>IF(G73&lt;50,"NL",IF(G73&lt;66.7,"PL","L"))</x:f>
        <x:v>NL</x:v>
      </x:c>
      <x:c r="J73" t="str">
        <x:v>Biología</x:v>
      </x:c>
      <x:c r="K73" s="13" t="n">
        <x:v>44.5</x:v>
      </x:c>
      <x:c r="L73" t="str">
        <x:v>Física</x:v>
      </x:c>
      <x:c r="M73" s="13" t="n">
        <x:v>25.5</x:v>
      </x:c>
      <x:c r="N73" t="str">
        <x:v>CIENCIAS_NATURALES__8-A__planilla.xlsx</x:v>
      </x:c>
    </x:row>
    <x:row r="74">
      <x:c r="A74" t="str">
        <x:v>Historia y Cs. Sociales</x:v>
      </x:c>
      <x:c r="B74" t="str">
        <x:v>2° Ciclo</x:v>
      </x:c>
      <x:c r="C74" t="str">
        <x:v>8° Básico</x:v>
      </x:c>
      <x:c r="D74" t="str">
        <x:v>8°A</x:v>
      </x:c>
      <x:c r="E74" s="12" t="n">
        <x:v>32</x:v>
      </x:c>
      <x:c r="F74" s="13"/>
      <x:c r="G74" s="13" t="n">
        <x:v>30.2</x:v>
      </x:c>
      <x:c r="H74" s="13" t="str">
        <x:f>IF(OR(F74="",G74=""),"",G74-F74)</x:f>
      </x:c>
      <x:c r="I74" t="str">
        <x:f>IF(G74&lt;50,"NL",IF(G74&lt;66.7,"PL","L"))</x:f>
        <x:v>NL</x:v>
      </x:c>
      <x:c r="J74" t="str">
        <x:v>Historia</x:v>
      </x:c>
      <x:c r="K74" s="13" t="n">
        <x:v>45.7</x:v>
      </x:c>
      <x:c r="L74" t="str">
        <x:v>Geografía</x:v>
      </x:c>
      <x:c r="M74" s="13" t="n">
        <x:v>10.5</x:v>
      </x:c>
      <x:c r="N74" t="str">
        <x:v>HISTORIA_GEOGRAFIA_y_CIENCIAS_SOCIALES__8-A__planilla.xlsx</x:v>
      </x:c>
    </x:row>
    <x:row r="75">
      <x:c r="A75" t="str">
        <x:v>Lectura</x:v>
      </x:c>
      <x:c r="B75" t="str">
        <x:v>2° Ciclo</x:v>
      </x:c>
      <x:c r="C75" t="str">
        <x:v>8° Básico</x:v>
      </x:c>
      <x:c r="D75" t="str">
        <x:v>8°B</x:v>
      </x:c>
      <x:c r="E75" s="12" t="n">
        <x:v>34</x:v>
      </x:c>
      <x:c r="F75" s="13" t="n">
        <x:v>49.9</x:v>
      </x:c>
      <x:c r="G75" s="13" t="n">
        <x:v>49.7</x:v>
      </x:c>
      <x:c r="H75" s="13" t="n">
        <x:f>IF(OR(F75="",G75=""),"",G75-F75)</x:f>
        <x:v>-0.19999999999999574</x:v>
      </x:c>
      <x:c r="I75" t="str">
        <x:f>IF(G75&lt;50,"NL",IF(G75&lt;66.7,"PL","L"))</x:f>
        <x:v>NL</x:v>
      </x:c>
      <x:c r="J75" t="str">
        <x:v>Interpretar y relacionar</x:v>
      </x:c>
      <x:c r="K75" s="13" t="n">
        <x:v>55.6</x:v>
      </x:c>
      <x:c r="L75" t="str">
        <x:v>Reflexionar</x:v>
      </x:c>
      <x:c r="M75" s="13" t="n">
        <x:v>44.9</x:v>
      </x:c>
      <x:c r="N75" t="str">
        <x:v>LECTURA__8-B__planilla.xlsx</x:v>
      </x:c>
    </x:row>
    <x:row r="76">
      <x:c r="A76" t="str">
        <x:v>Matemática</x:v>
      </x:c>
      <x:c r="B76" t="str">
        <x:v>2° Ciclo</x:v>
      </x:c>
      <x:c r="C76" t="str">
        <x:v>8° Básico</x:v>
      </x:c>
      <x:c r="D76" t="str">
        <x:v>8°B</x:v>
      </x:c>
      <x:c r="E76" s="12" t="n">
        <x:v>37</x:v>
      </x:c>
      <x:c r="F76" s="13" t="n">
        <x:v>47.2</x:v>
      </x:c>
      <x:c r="G76" s="13" t="n">
        <x:v>25.2</x:v>
      </x:c>
      <x:c r="H76" s="13" t="n">
        <x:f>IF(OR(F76="",G76=""),"",G76-F76)</x:f>
        <x:v>-22.000000000000004</x:v>
      </x:c>
      <x:c r="I76" t="str">
        <x:f>IF(G76&lt;50,"NL",IF(G76&lt;66.7,"PL","L"))</x:f>
        <x:v>NL</x:v>
      </x:c>
      <x:c r="J76" t="str">
        <x:v>Números</x:v>
      </x:c>
      <x:c r="K76" s="13" t="n">
        <x:v>48</x:v>
      </x:c>
      <x:c r="L76" t="str">
        <x:v>Probabilidad y estadística</x:v>
      </x:c>
      <x:c r="M76" s="13" t="n">
        <x:v>8.9</x:v>
      </x:c>
      <x:c r="N76" t="str">
        <x:v>MATEMATICA__8-B__planilla.xlsx</x:v>
      </x:c>
    </x:row>
    <x:row r="77">
      <x:c r="A77" t="str">
        <x:v>Historia y Cs. Sociales</x:v>
      </x:c>
      <x:c r="B77" t="str">
        <x:v>2° Ciclo</x:v>
      </x:c>
      <x:c r="C77" t="str">
        <x:v>8° Básico</x:v>
      </x:c>
      <x:c r="D77" t="str">
        <x:v>8°B</x:v>
      </x:c>
      <x:c r="E77" s="12" t="n">
        <x:v>30</x:v>
      </x:c>
      <x:c r="F77" s="13"/>
      <x:c r="G77" s="13" t="n">
        <x:v>32.2</x:v>
      </x:c>
      <x:c r="H77" s="13" t="str">
        <x:f>IF(OR(F77="",G77=""),"",G77-F77)</x:f>
      </x:c>
      <x:c r="I77" t="str">
        <x:f>IF(G77&lt;50,"NL",IF(G77&lt;66.7,"PL","L"))</x:f>
        <x:v>NL</x:v>
      </x:c>
      <x:c r="J77" t="str">
        <x:v>Geografía</x:v>
      </x:c>
      <x:c r="K77" s="13" t="n">
        <x:v>37.3</x:v>
      </x:c>
      <x:c r="L77" t="str">
        <x:v>Formación Ciudadana</x:v>
      </x:c>
      <x:c r="M77" s="13" t="n">
        <x:v>26.7</x:v>
      </x:c>
      <x:c r="N77" t="str">
        <x:v>HISTORIA_GEOGRAFIA_y_CIENCIAS_SOCIALES__8-B__planilla.xlsx</x:v>
      </x:c>
    </x:row>
    <x:row r="78">
      <x:c r="A78" t="str">
        <x:v>Lectura</x:v>
      </x:c>
      <x:c r="B78" t="str">
        <x:v>2° Ciclo</x:v>
      </x:c>
      <x:c r="C78" t="str">
        <x:v>8° Básico</x:v>
      </x:c>
      <x:c r="D78" t="str">
        <x:v>8°C</x:v>
      </x:c>
      <x:c r="E78" s="12" t="n">
        <x:v>29</x:v>
      </x:c>
      <x:c r="F78" s="13" t="n">
        <x:v>52.1</x:v>
      </x:c>
      <x:c r="G78" s="13" t="n">
        <x:v>56.3</x:v>
      </x:c>
      <x:c r="H78" s="13" t="n">
        <x:f>IF(OR(F78="",G78=""),"",G78-F78)</x:f>
        <x:v>4.199999999999996</x:v>
      </x:c>
      <x:c r="I78" t="str">
        <x:f>IF(G78&lt;50,"NL",IF(G78&lt;66.7,"PL","L"))</x:f>
        <x:v>PL</x:v>
      </x:c>
      <x:c r="J78" t="str">
        <x:v>Localizar</x:v>
      </x:c>
      <x:c r="K78" s="13" t="n">
        <x:v>65.5</x:v>
      </x:c>
      <x:c r="L78" t="str">
        <x:v>Reflexionar</x:v>
      </x:c>
      <x:c r="M78" s="13" t="n">
        <x:v>47.7</x:v>
      </x:c>
      <x:c r="N78" t="str">
        <x:v>LECTURA__8-C__planilla.xlsx</x:v>
      </x:c>
    </x:row>
    <x:row r="79">
      <x:c r="A79" t="str">
        <x:v>Matemática</x:v>
      </x:c>
      <x:c r="B79" t="str">
        <x:v>2° Ciclo</x:v>
      </x:c>
      <x:c r="C79" t="str">
        <x:v>8° Básico</x:v>
      </x:c>
      <x:c r="D79" t="str">
        <x:v>8°C</x:v>
      </x:c>
      <x:c r="E79" s="12" t="n">
        <x:v>27</x:v>
      </x:c>
      <x:c r="F79" s="13" t="n">
        <x:v>42.6</x:v>
      </x:c>
      <x:c r="G79" s="13" t="n">
        <x:v>50.3</x:v>
      </x:c>
      <x:c r="H79" s="13" t="n">
        <x:f>IF(OR(F79="",G79=""),"",G79-F79)</x:f>
        <x:v>7.699999999999996</x:v>
      </x:c>
      <x:c r="I79" t="str">
        <x:f>IF(G79&lt;50,"NL",IF(G79&lt;66.7,"PL","L"))</x:f>
        <x:v>PL</x:v>
      </x:c>
      <x:c r="J79" t="str">
        <x:v>Números</x:v>
      </x:c>
      <x:c r="K79" s="13" t="n">
        <x:v>54.6</x:v>
      </x:c>
      <x:c r="L79" t="str">
        <x:v>Álgebra y funciones</x:v>
      </x:c>
      <x:c r="M79" s="13" t="n">
        <x:v>47</x:v>
      </x:c>
      <x:c r="N79" t="str">
        <x:v>MATEMATICA__8-C__planilla.xlsx</x:v>
      </x:c>
    </x:row>
    <x:row r="80">
      <x:c r="A80" t="str">
        <x:v>Ciencias Naturales</x:v>
      </x:c>
      <x:c r="B80" t="str">
        <x:v>2° Ciclo</x:v>
      </x:c>
      <x:c r="C80" t="str">
        <x:v>8° Básico</x:v>
      </x:c>
      <x:c r="D80" t="str">
        <x:v>8°C</x:v>
      </x:c>
      <x:c r="E80" s="12" t="n">
        <x:v>21</x:v>
      </x:c>
      <x:c r="F80" s="13"/>
      <x:c r="G80" s="13" t="n">
        <x:v>22.8</x:v>
      </x:c>
      <x:c r="H80" s="13" t="str">
        <x:f>IF(OR(F80="",G80=""),"",G80-F80)</x:f>
      </x:c>
      <x:c r="I80" t="str">
        <x:f>IF(G80&lt;50,"NL",IF(G80&lt;66.7,"PL","L"))</x:f>
        <x:v>NL</x:v>
      </x:c>
      <x:c r="J80" t="str">
        <x:v>Biología</x:v>
      </x:c>
      <x:c r="K80" s="13" t="n">
        <x:v>31.6</x:v>
      </x:c>
      <x:c r="L80" t="str">
        <x:v>Física</x:v>
      </x:c>
      <x:c r="M80" s="13" t="n">
        <x:v>17.9</x:v>
      </x:c>
      <x:c r="N80" t="str">
        <x:v>CIENCIAS_NATURALES__8-C__planilla.xlsx</x:v>
      </x:c>
    </x:row>
    <x:row r="81">
      <x:c r="A81" t="str">
        <x:v>Historia y Cs. Sociales</x:v>
      </x:c>
      <x:c r="B81" t="str">
        <x:v>2° Ciclo</x:v>
      </x:c>
      <x:c r="C81" t="str">
        <x:v>8° Básico</x:v>
      </x:c>
      <x:c r="D81" t="str">
        <x:v>8°C</x:v>
      </x:c>
      <x:c r="E81" s="12" t="n">
        <x:v>28</x:v>
      </x:c>
      <x:c r="F81" s="13"/>
      <x:c r="G81" s="13" t="n">
        <x:v>38.9</x:v>
      </x:c>
      <x:c r="H81" s="13" t="str">
        <x:f>IF(OR(F81="",G81=""),"",G81-F81)</x:f>
      </x:c>
      <x:c r="I81" t="str">
        <x:f>IF(G81&lt;50,"NL",IF(G81&lt;66.7,"PL","L"))</x:f>
        <x:v>NL</x:v>
      </x:c>
      <x:c r="J81" t="str">
        <x:v>Historia</x:v>
      </x:c>
      <x:c r="K81" s="13" t="n">
        <x:v>45.9</x:v>
      </x:c>
      <x:c r="L81" t="str">
        <x:v>Formación Ciudadana</x:v>
      </x:c>
      <x:c r="M81" s="13" t="n">
        <x:v>33.3</x:v>
      </x:c>
      <x:c r="N81" t="str">
        <x:v>HISTORIA_GEOGRAFIA_y_CIENCIAS_SOCIALES__8-C__planilla.xlsx</x:v>
      </x:c>
    </x:row>
    <x:row r="82">
      <x:c r="A82" t="str">
        <x:v>Lectura</x:v>
      </x:c>
      <x:c r="B82" t="str">
        <x:v>2° Ciclo</x:v>
      </x:c>
      <x:c r="C82" t="str">
        <x:v>8° Básico</x:v>
      </x:c>
      <x:c r="D82" t="str">
        <x:v>8°D</x:v>
      </x:c>
      <x:c r="E82" s="12" t="n">
        <x:v>32</x:v>
      </x:c>
      <x:c r="F82" s="13" t="n">
        <x:v>45.8</x:v>
      </x:c>
      <x:c r="G82" s="13" t="n">
        <x:v>49.2</x:v>
      </x:c>
      <x:c r="H82" s="13" t="n">
        <x:f>IF(OR(F82="",G82=""),"",G82-F82)</x:f>
        <x:v>3.4000000000000057</x:v>
      </x:c>
      <x:c r="I82" t="str">
        <x:f>IF(G82&lt;50,"NL",IF(G82&lt;66.7,"PL","L"))</x:f>
        <x:v>NL</x:v>
      </x:c>
      <x:c r="J82" t="str">
        <x:v>Interpretar y relacionar</x:v>
      </x:c>
      <x:c r="K82" s="13" t="n">
        <x:v>53.6</x:v>
      </x:c>
      <x:c r="L82" t="str">
        <x:v>Reflexionar</x:v>
      </x:c>
      <x:c r="M82" s="13" t="n">
        <x:v>42.4</x:v>
      </x:c>
      <x:c r="N82" t="str">
        <x:v>LECTURA__8-D__planilla.xlsx</x:v>
      </x:c>
    </x:row>
    <x:row r="83">
      <x:c r="A83" t="str">
        <x:v>Matemática</x:v>
      </x:c>
      <x:c r="B83" t="str">
        <x:v>2° Ciclo</x:v>
      </x:c>
      <x:c r="C83" t="str">
        <x:v>8° Básico</x:v>
      </x:c>
      <x:c r="D83" t="str">
        <x:v>8°D</x:v>
      </x:c>
      <x:c r="E83" s="12" t="n">
        <x:v>28</x:v>
      </x:c>
      <x:c r="F83" s="13" t="n">
        <x:v>39.7</x:v>
      </x:c>
      <x:c r="G83" s="13" t="n">
        <x:v>32</x:v>
      </x:c>
      <x:c r="H83" s="13" t="n">
        <x:f>IF(OR(F83="",G83=""),"",G83-F83)</x:f>
        <x:v>-7.700000000000003</x:v>
      </x:c>
      <x:c r="I83" t="str">
        <x:f>IF(G83&lt;50,"NL",IF(G83&lt;66.7,"PL","L"))</x:f>
        <x:v>NL</x:v>
      </x:c>
      <x:c r="J83" t="str">
        <x:v>Números</x:v>
      </x:c>
      <x:c r="K83" s="13" t="n">
        <x:v>46</x:v>
      </x:c>
      <x:c r="L83" t="str">
        <x:v>Probabilidad y estadística</x:v>
      </x:c>
      <x:c r="M83" s="13" t="n">
        <x:v>25.5</x:v>
      </x:c>
      <x:c r="N83" t="str">
        <x:v>MATEMATICA__8-D__planilla.xlsx</x:v>
      </x:c>
    </x:row>
    <x:row r="84">
      <x:c r="A84" t="str">
        <x:v>Ciencias Naturales</x:v>
      </x:c>
      <x:c r="B84" t="str">
        <x:v>2° Ciclo</x:v>
      </x:c>
      <x:c r="C84" t="str">
        <x:v>8° Básico</x:v>
      </x:c>
      <x:c r="D84" t="str">
        <x:v>8°D</x:v>
      </x:c>
      <x:c r="E84" s="12" t="n">
        <x:v>23</x:v>
      </x:c>
      <x:c r="F84" s="13"/>
      <x:c r="G84" s="13" t="n">
        <x:v>31.8</x:v>
      </x:c>
      <x:c r="H84" s="13" t="str">
        <x:f>IF(OR(F84="",G84=""),"",G84-F84)</x:f>
      </x:c>
      <x:c r="I84" t="str">
        <x:f>IF(G84&lt;50,"NL",IF(G84&lt;66.7,"PL","L"))</x:f>
        <x:v>NL</x:v>
      </x:c>
      <x:c r="J84" t="str">
        <x:v>Biología</x:v>
      </x:c>
      <x:c r="K84" s="13" t="n">
        <x:v>34.9</x:v>
      </x:c>
      <x:c r="L84" t="str">
        <x:v>Física</x:v>
      </x:c>
      <x:c r="M84" s="13" t="n">
        <x:v>27.5</x:v>
      </x:c>
      <x:c r="N84" t="str">
        <x:v>CIENCIAS_NATURALES__8-D__planilla.xlsx</x:v>
      </x:c>
    </x:row>
    <x:row r="85">
      <x:c r="A85" t="str">
        <x:v>Historia y Cs. Sociales</x:v>
      </x:c>
      <x:c r="B85" t="str">
        <x:v>2° Ciclo</x:v>
      </x:c>
      <x:c r="C85" t="str">
        <x:v>8° Básico</x:v>
      </x:c>
      <x:c r="D85" t="str">
        <x:v>8°D</x:v>
      </x:c>
      <x:c r="E85" s="12" t="n">
        <x:v>34</x:v>
      </x:c>
      <x:c r="F85" s="13"/>
      <x:c r="G85" s="13" t="n">
        <x:v>34.8</x:v>
      </x:c>
      <x:c r="H85" s="13" t="str">
        <x:f>IF(OR(F85="",G85=""),"",G85-F85)</x:f>
      </x:c>
      <x:c r="I85" t="str">
        <x:f>IF(G85&lt;50,"NL",IF(G85&lt;66.7,"PL","L"))</x:f>
        <x:v>NL</x:v>
      </x:c>
      <x:c r="J85" t="str">
        <x:v>Geografía</x:v>
      </x:c>
      <x:c r="K85" s="13" t="n">
        <x:v>39.9</x:v>
      </x:c>
      <x:c r="L85" t="str">
        <x:v>Formación Ciudadana</x:v>
      </x:c>
      <x:c r="M85" s="13" t="n">
        <x:v>29.4</x:v>
      </x:c>
      <x:c r="N85" t="str">
        <x:v>HISTORIA_GEOGRAFIA_y_CIENCIAS_SOCIALES__8-D__planilla.xlsx</x:v>
      </x:c>
    </x:row>
    <x:row r="86">
      <x:c r="A86" t="str">
        <x:v>Lectura</x:v>
      </x:c>
      <x:c r="B86" t="str">
        <x:v>2° Ciclo</x:v>
      </x:c>
      <x:c r="C86" t="str">
        <x:v>8° Básico</x:v>
      </x:c>
      <x:c r="D86" t="str">
        <x:v>8°G</x:v>
      </x:c>
      <x:c r="E86" s="12" t="n">
        <x:v>29</x:v>
      </x:c>
      <x:c r="F86" s="13"/>
      <x:c r="G86" s="13" t="n">
        <x:v>46.1</x:v>
      </x:c>
      <x:c r="H86" s="13" t="str">
        <x:f>IF(OR(F86="",G86=""),"",G86-F86)</x:f>
      </x:c>
      <x:c r="I86" t="str">
        <x:f>IF(G86&lt;50,"NL",IF(G86&lt;66.7,"PL","L"))</x:f>
        <x:v>NL</x:v>
      </x:c>
      <x:c r="J86" t="str">
        <x:v>Localizar</x:v>
      </x:c>
      <x:c r="K86" s="13" t="n">
        <x:v>50</x:v>
      </x:c>
      <x:c r="L86" t="str">
        <x:v>Reflexionar</x:v>
      </x:c>
      <x:c r="M86" s="13" t="n">
        <x:v>39.4</x:v>
      </x:c>
      <x:c r="N86" t="str">
        <x:v>LECTURA__8-G__planilla.xlsx</x:v>
      </x:c>
    </x:row>
    <x:row r="87">
      <x:c r="A87" t="str">
        <x:v>Lectura</x:v>
      </x:c>
      <x:c r="B87" t="str">
        <x:v>Ens. Media</x:v>
      </x:c>
      <x:c r="C87" t="str">
        <x:v>I° Medio</x:v>
      </x:c>
      <x:c r="D87" t="str">
        <x:v>I A</x:v>
      </x:c>
      <x:c r="E87" s="12" t="n">
        <x:v>29</x:v>
      </x:c>
      <x:c r="F87" s="13" t="n">
        <x:v>59.5</x:v>
      </x:c>
      <x:c r="G87" s="13" t="n">
        <x:v>70.2</x:v>
      </x:c>
      <x:c r="H87" s="13" t="n">
        <x:f>IF(OR(F87="",G87=""),"",G87-F87)</x:f>
        <x:v>10.700000000000003</x:v>
      </x:c>
      <x:c r="I87" t="str">
        <x:f>IF(G87&lt;50,"NL",IF(G87&lt;66.7,"PL","L"))</x:f>
        <x:v>L</x:v>
      </x:c>
      <x:c r="J87" t="str">
        <x:v>Localizar</x:v>
      </x:c>
      <x:c r="K87" s="13" t="n">
        <x:v>75</x:v>
      </x:c>
      <x:c r="L87" t="str">
        <x:v>Reflexionar</x:v>
      </x:c>
      <x:c r="M87" s="13" t="n">
        <x:v>61</x:v>
      </x:c>
      <x:c r="N87" t="str">
        <x:v>LECTURA__I-A (HC-310)__planilla.xlsx</x:v>
      </x:c>
    </x:row>
    <x:row r="88">
      <x:c r="A88" t="str">
        <x:v>Matemática</x:v>
      </x:c>
      <x:c r="B88" t="str">
        <x:v>Ens. Media</x:v>
      </x:c>
      <x:c r="C88" t="str">
        <x:v>I° Medio</x:v>
      </x:c>
      <x:c r="D88" t="str">
        <x:v>I A</x:v>
      </x:c>
      <x:c r="E88" s="12" t="n">
        <x:v>23</x:v>
      </x:c>
      <x:c r="F88" s="13" t="n">
        <x:v>30.8</x:v>
      </x:c>
      <x:c r="G88" s="13" t="n">
        <x:v>50.5</x:v>
      </x:c>
      <x:c r="H88" s="13" t="n">
        <x:f>IF(OR(F88="",G88=""),"",G88-F88)</x:f>
        <x:v>19.7</x:v>
      </x:c>
      <x:c r="I88" t="str">
        <x:f>IF(G88&lt;50,"NL",IF(G88&lt;66.7,"PL","L"))</x:f>
        <x:v>PL</x:v>
      </x:c>
      <x:c r="J88" t="str">
        <x:v>Números</x:v>
      </x:c>
      <x:c r="K88" s="13" t="n">
        <x:v>58.5</x:v>
      </x:c>
      <x:c r="L88" t="str">
        <x:v>Probabilidad y estadística</x:v>
      </x:c>
      <x:c r="M88" s="13" t="n">
        <x:v>44.1</x:v>
      </x:c>
      <x:c r="N88" t="str">
        <x:v>MATEMATICA__I-A (HC-310)__planilla.xlsx</x:v>
      </x:c>
    </x:row>
    <x:row r="89">
      <x:c r="A89" t="str">
        <x:v>Lectura</x:v>
      </x:c>
      <x:c r="B89" t="str">
        <x:v>Ens. Media</x:v>
      </x:c>
      <x:c r="C89" t="str">
        <x:v>I° Medio</x:v>
      </x:c>
      <x:c r="D89" t="str">
        <x:v>I B</x:v>
      </x:c>
      <x:c r="E89" s="12" t="n">
        <x:v>30</x:v>
      </x:c>
      <x:c r="F89" s="13" t="n">
        <x:v>60.2</x:v>
      </x:c>
      <x:c r="G89" s="13" t="n">
        <x:v>64.7</x:v>
      </x:c>
      <x:c r="H89" s="13" t="n">
        <x:f>IF(OR(F89="",G89=""),"",G89-F89)</x:f>
        <x:v>4.5</x:v>
      </x:c>
      <x:c r="I89" t="str">
        <x:f>IF(G89&lt;50,"NL",IF(G89&lt;66.7,"PL","L"))</x:f>
        <x:v>PL</x:v>
      </x:c>
      <x:c r="J89" t="str">
        <x:v>Localizar</x:v>
      </x:c>
      <x:c r="K89" s="13" t="n">
        <x:v>70</x:v>
      </x:c>
      <x:c r="L89" t="str">
        <x:v>Reflexionar</x:v>
      </x:c>
      <x:c r="M89" s="13" t="n">
        <x:v>56.4</x:v>
      </x:c>
      <x:c r="N89" t="str">
        <x:v>LECTURA__I-B (HC-310)__planilla.xlsx</x:v>
      </x:c>
    </x:row>
    <x:row r="90">
      <x:c r="A90" t="str">
        <x:v>Matemática</x:v>
      </x:c>
      <x:c r="B90" t="str">
        <x:v>Ens. Media</x:v>
      </x:c>
      <x:c r="C90" t="str">
        <x:v>I° Medio</x:v>
      </x:c>
      <x:c r="D90" t="str">
        <x:v>I B</x:v>
      </x:c>
      <x:c r="E90" s="12" t="n">
        <x:v>26</x:v>
      </x:c>
      <x:c r="F90" s="13" t="n">
        <x:v>37</x:v>
      </x:c>
      <x:c r="G90" s="13" t="n">
        <x:v>44.6</x:v>
      </x:c>
      <x:c r="H90" s="13" t="n">
        <x:f>IF(OR(F90="",G90=""),"",G90-F90)</x:f>
        <x:v>7.600000000000001</x:v>
      </x:c>
      <x:c r="I90" t="str">
        <x:f>IF(G90&lt;50,"NL",IF(G90&lt;66.7,"PL","L"))</x:f>
        <x:v>NL</x:v>
      </x:c>
      <x:c r="J90" t="str">
        <x:v>Álgebra y funciones</x:v>
      </x:c>
      <x:c r="K90" s="13" t="n">
        <x:v>53.4</x:v>
      </x:c>
      <x:c r="L90" t="str">
        <x:v>Probabilidad y estadística</x:v>
      </x:c>
      <x:c r="M90" s="13" t="n">
        <x:v>36.8</x:v>
      </x:c>
      <x:c r="N90" t="str">
        <x:v>MATEMATICA__I-B (HC-310)__planilla.xlsx</x:v>
      </x:c>
    </x:row>
    <x:row r="91">
      <x:c r="A91" t="str">
        <x:v>Lectura</x:v>
      </x:c>
      <x:c r="B91" t="str">
        <x:v>Ens. Media</x:v>
      </x:c>
      <x:c r="C91" t="str">
        <x:v>I° Medio</x:v>
      </x:c>
      <x:c r="D91" t="str">
        <x:v>I C</x:v>
      </x:c>
      <x:c r="E91" s="12" t="n">
        <x:v>26</x:v>
      </x:c>
      <x:c r="F91" s="13" t="n">
        <x:v>53.3</x:v>
      </x:c>
      <x:c r="G91" s="13" t="n">
        <x:v>68.6</x:v>
      </x:c>
      <x:c r="H91" s="13" t="n">
        <x:f>IF(OR(F91="",G91=""),"",G91-F91)</x:f>
        <x:v>15.299999999999997</x:v>
      </x:c>
      <x:c r="I91" t="str">
        <x:f>IF(G91&lt;50,"NL",IF(G91&lt;66.7,"PL","L"))</x:f>
        <x:v>L</x:v>
      </x:c>
      <x:c r="J91" t="str">
        <x:v>Interpretar y relacionar</x:v>
      </x:c>
      <x:c r="K91" s="13" t="n">
        <x:v>71.9</x:v>
      </x:c>
      <x:c r="L91" t="str">
        <x:v>Reflexionar</x:v>
      </x:c>
      <x:c r="M91" s="13" t="n">
        <x:v>62.6</x:v>
      </x:c>
      <x:c r="N91" t="str">
        <x:v>LECTURA__I-C (HC-310)__planilla.xlsx</x:v>
      </x:c>
    </x:row>
    <x:row r="92">
      <x:c r="A92" t="str">
        <x:v>Matemática</x:v>
      </x:c>
      <x:c r="B92" t="str">
        <x:v>Ens. Media</x:v>
      </x:c>
      <x:c r="C92" t="str">
        <x:v>I° Medio</x:v>
      </x:c>
      <x:c r="D92" t="str">
        <x:v>I C</x:v>
      </x:c>
      <x:c r="E92" s="12" t="n">
        <x:v>32</x:v>
      </x:c>
      <x:c r="F92" s="13" t="n">
        <x:v>24.5</x:v>
      </x:c>
      <x:c r="G92" s="13" t="n">
        <x:v>58.3</x:v>
      </x:c>
      <x:c r="H92" s="13" t="n">
        <x:f>IF(OR(F92="",G92=""),"",G92-F92)</x:f>
        <x:v>33.8</x:v>
      </x:c>
      <x:c r="I92" t="str">
        <x:f>IF(G92&lt;50,"NL",IF(G92&lt;66.7,"PL","L"))</x:f>
        <x:v>PL</x:v>
      </x:c>
      <x:c r="J92" t="str">
        <x:v>Álgebra y funciones</x:v>
      </x:c>
      <x:c r="K92" s="13" t="n">
        <x:v>64.1</x:v>
      </x:c>
      <x:c r="L92" t="str">
        <x:v>Números</x:v>
      </x:c>
      <x:c r="M92" s="13" t="n">
        <x:v>55.2</x:v>
      </x:c>
      <x:c r="N92" t="str">
        <x:v>MATEMATICA__I-C (HC-310)__planilla.xlsx</x:v>
      </x:c>
    </x:row>
    <x:row r="93">
      <x:c r="A93" t="str">
        <x:v>Lectura</x:v>
      </x:c>
      <x:c r="B93" t="str">
        <x:v>Ens. Media</x:v>
      </x:c>
      <x:c r="C93" t="str">
        <x:v>I° Medio</x:v>
      </x:c>
      <x:c r="D93" t="str">
        <x:v>I D</x:v>
      </x:c>
      <x:c r="E93" s="12" t="n">
        <x:v>35</x:v>
      </x:c>
      <x:c r="F93" s="13" t="n">
        <x:v>45.4</x:v>
      </x:c>
      <x:c r="G93" s="13" t="n">
        <x:v>71.2</x:v>
      </x:c>
      <x:c r="H93" s="13" t="n">
        <x:f>IF(OR(F93="",G93=""),"",G93-F93)</x:f>
        <x:v>25.800000000000004</x:v>
      </x:c>
      <x:c r="I93" t="str">
        <x:f>IF(G93&lt;50,"NL",IF(G93&lt;66.7,"PL","L"))</x:f>
        <x:v>L</x:v>
      </x:c>
      <x:c r="J93" t="str">
        <x:v>Localizar</x:v>
      </x:c>
      <x:c r="K93" s="13" t="n">
        <x:v>76.4</x:v>
      </x:c>
      <x:c r="L93" t="str">
        <x:v>Reflexionar</x:v>
      </x:c>
      <x:c r="M93" s="13" t="n">
        <x:v>62.5</x:v>
      </x:c>
      <x:c r="N93" t="str">
        <x:v>LECTURA__I-D (HC-310)__planilla.xlsx</x:v>
      </x:c>
    </x:row>
    <x:row r="94">
      <x:c r="A94" t="str">
        <x:v>Matemática</x:v>
      </x:c>
      <x:c r="B94" t="str">
        <x:v>Ens. Media</x:v>
      </x:c>
      <x:c r="C94" t="str">
        <x:v>I° Medio</x:v>
      </x:c>
      <x:c r="D94" t="str">
        <x:v>I D</x:v>
      </x:c>
      <x:c r="E94" s="12" t="n">
        <x:v>33</x:v>
      </x:c>
      <x:c r="F94" s="13" t="n">
        <x:v>60.3</x:v>
      </x:c>
      <x:c r="G94" s="13" t="n">
        <x:v>57.7</x:v>
      </x:c>
      <x:c r="H94" s="13" t="n">
        <x:f>IF(OR(F94="",G94=""),"",G94-F94)</x:f>
        <x:v>-2.5999999999999943</x:v>
      </x:c>
      <x:c r="I94" t="str">
        <x:f>IF(G94&lt;50,"NL",IF(G94&lt;66.7,"PL","L"))</x:f>
        <x:v>PL</x:v>
      </x:c>
      <x:c r="J94" t="str">
        <x:v>Números</x:v>
      </x:c>
      <x:c r="K94" s="13" t="n">
        <x:v>64.3</x:v>
      </x:c>
      <x:c r="L94" t="str">
        <x:v>Geometría</x:v>
      </x:c>
      <x:c r="M94" s="13" t="n">
        <x:v>52.4</x:v>
      </x:c>
      <x:c r="N94" t="str">
        <x:v>MATEMATICA__I-D (HC-310)__planilla.xlsx</x:v>
      </x:c>
    </x:row>
    <x:row r="95">
      <x:c r="A95" t="str">
        <x:v>Lectura</x:v>
      </x:c>
      <x:c r="B95" t="str">
        <x:v>Ens. Media</x:v>
      </x:c>
      <x:c r="C95" t="str">
        <x:v>I° Medio</x:v>
      </x:c>
      <x:c r="D95" t="str">
        <x:v>I G</x:v>
      </x:c>
      <x:c r="E95" s="12" t="n">
        <x:v>33</x:v>
      </x:c>
      <x:c r="F95" s="13"/>
      <x:c r="G95" s="13" t="n">
        <x:v>56.6</x:v>
      </x:c>
      <x:c r="H95" s="13" t="str">
        <x:f>IF(OR(F95="",G95=""),"",G95-F95)</x:f>
      </x:c>
      <x:c r="I95" t="str">
        <x:f>IF(G95&lt;50,"NL",IF(G95&lt;66.7,"PL","L"))</x:f>
        <x:v>PL</x:v>
      </x:c>
      <x:c r="J95" t="str">
        <x:v>Localizar</x:v>
      </x:c>
      <x:c r="K95" s="13" t="n">
        <x:v>68.2</x:v>
      </x:c>
      <x:c r="L95" t="str">
        <x:v>Reflexionar</x:v>
      </x:c>
      <x:c r="M95" s="13" t="n">
        <x:v>48.2</x:v>
      </x:c>
      <x:c r="N95" t="str">
        <x:v>LECTURA__I-G (HC-310)__planilla.xlsx</x:v>
      </x:c>
    </x:row>
    <x:row r="96">
      <x:c r="A96" t="str">
        <x:v>Matemática</x:v>
      </x:c>
      <x:c r="B96" t="str">
        <x:v>Ens. Media</x:v>
      </x:c>
      <x:c r="C96" t="str">
        <x:v>I° Medio</x:v>
      </x:c>
      <x:c r="D96" t="str">
        <x:v>I G</x:v>
      </x:c>
      <x:c r="E96" s="12" t="n">
        <x:v>33</x:v>
      </x:c>
      <x:c r="F96" s="13"/>
      <x:c r="G96" s="13" t="n">
        <x:v>27.4</x:v>
      </x:c>
      <x:c r="H96" s="13" t="str">
        <x:f>IF(OR(F96="",G96=""),"",G96-F96)</x:f>
      </x:c>
      <x:c r="I96" t="str">
        <x:f>IF(G96&lt;50,"NL",IF(G96&lt;66.7,"PL","L"))</x:f>
        <x:v>NL</x:v>
      </x:c>
      <x:c r="J96" t="str">
        <x:v>Probabilidad y estadística</x:v>
      </x:c>
      <x:c r="K96" s="13" t="n">
        <x:v>33.8</x:v>
      </x:c>
      <x:c r="L96" t="str">
        <x:v>Geometría</x:v>
      </x:c>
      <x:c r="M96" s="13" t="n">
        <x:v>20.7</x:v>
      </x:c>
      <x:c r="N96" t="str">
        <x:v>MATEMATICA__I-G (HC-310)__planilla.xlsx</x:v>
      </x:c>
    </x:row>
    <x:row r="97">
      <x:c r="A97" t="str">
        <x:v>Lectura</x:v>
      </x:c>
      <x:c r="B97" t="str">
        <x:v>Ens. Media</x:v>
      </x:c>
      <x:c r="C97" t="str">
        <x:v>II° Medio</x:v>
      </x:c>
      <x:c r="D97" t="str">
        <x:v>II A</x:v>
      </x:c>
      <x:c r="E97" s="12" t="n">
        <x:v>30</x:v>
      </x:c>
      <x:c r="F97" s="13" t="n">
        <x:v>59.3</x:v>
      </x:c>
      <x:c r="G97" s="13" t="n">
        <x:v>61.7</x:v>
      </x:c>
      <x:c r="H97" s="13" t="n">
        <x:f>IF(OR(F97="",G97=""),"",G97-F97)</x:f>
        <x:v>2.4000000000000057</x:v>
      </x:c>
      <x:c r="I97" t="str">
        <x:f>IF(G97&lt;50,"NL",IF(G97&lt;66.7,"PL","L"))</x:f>
        <x:v>PL</x:v>
      </x:c>
      <x:c r="J97" t="str">
        <x:v>Localizar</x:v>
      </x:c>
      <x:c r="K97" s="13" t="n">
        <x:v>65</x:v>
      </x:c>
      <x:c r="L97" t="str">
        <x:v>Reflexionar</x:v>
      </x:c>
      <x:c r="M97" s="13" t="n">
        <x:v>57.3</x:v>
      </x:c>
      <x:c r="N97" t="str">
        <x:v>LECTURA__II-A (HC-310)__planilla.xlsx</x:v>
      </x:c>
    </x:row>
    <x:row r="98">
      <x:c r="A98" t="str">
        <x:v>Matemática</x:v>
      </x:c>
      <x:c r="B98" t="str">
        <x:v>Ens. Media</x:v>
      </x:c>
      <x:c r="C98" t="str">
        <x:v>II° Medio</x:v>
      </x:c>
      <x:c r="D98" t="str">
        <x:v>II A</x:v>
      </x:c>
      <x:c r="E98" s="12" t="n">
        <x:v>31</x:v>
      </x:c>
      <x:c r="F98" s="13" t="n">
        <x:v>46.5</x:v>
      </x:c>
      <x:c r="G98" s="13" t="n">
        <x:v>40</x:v>
      </x:c>
      <x:c r="H98" s="13" t="n">
        <x:f>IF(OR(F98="",G98=""),"",G98-F98)</x:f>
        <x:v>-6.5</x:v>
      </x:c>
      <x:c r="I98" t="str">
        <x:f>IF(G98&lt;50,"NL",IF(G98&lt;66.7,"PL","L"))</x:f>
        <x:v>NL</x:v>
      </x:c>
      <x:c r="J98" t="str">
        <x:v>Álgebra y funciones</x:v>
      </x:c>
      <x:c r="K98" s="13" t="n">
        <x:v>44.5</x:v>
      </x:c>
      <x:c r="L98" t="str">
        <x:v>Geometría</x:v>
      </x:c>
      <x:c r="M98" s="13" t="n">
        <x:v>34.3</x:v>
      </x:c>
      <x:c r="N98" t="str">
        <x:v>MATEMATICA__II-A (HC-310)__planilla.xlsx</x:v>
      </x:c>
    </x:row>
    <x:row r="99">
      <x:c r="A99" t="str">
        <x:v>Lectura</x:v>
      </x:c>
      <x:c r="B99" t="str">
        <x:v>Ens. Media</x:v>
      </x:c>
      <x:c r="C99" t="str">
        <x:v>II° Medio</x:v>
      </x:c>
      <x:c r="D99" t="str">
        <x:v>II B</x:v>
      </x:c>
      <x:c r="E99" s="12" t="n">
        <x:v>27</x:v>
      </x:c>
      <x:c r="F99" s="13" t="n">
        <x:v>54.7</x:v>
      </x:c>
      <x:c r="G99" s="13" t="n">
        <x:v>60</x:v>
      </x:c>
      <x:c r="H99" s="13" t="n">
        <x:f>IF(OR(F99="",G99=""),"",G99-F99)</x:f>
        <x:v>5.299999999999997</x:v>
      </x:c>
      <x:c r="I99" t="str">
        <x:f>IF(G99&lt;50,"NL",IF(G99&lt;66.7,"PL","L"))</x:f>
        <x:v>PL</x:v>
      </x:c>
      <x:c r="J99" t="str">
        <x:v>Localizar</x:v>
      </x:c>
      <x:c r="K99" s="13" t="n">
        <x:v>63.9</x:v>
      </x:c>
      <x:c r="L99" t="str">
        <x:v>Reflexionar</x:v>
      </x:c>
      <x:c r="M99" s="13" t="n">
        <x:v>55.7</x:v>
      </x:c>
      <x:c r="N99" t="str">
        <x:v>LECTURA__II-B (HC-310)__planilla.xlsx</x:v>
      </x:c>
    </x:row>
    <x:row r="100">
      <x:c r="A100" t="str">
        <x:v>Matemática</x:v>
      </x:c>
      <x:c r="B100" t="str">
        <x:v>Ens. Media</x:v>
      </x:c>
      <x:c r="C100" t="str">
        <x:v>II° Medio</x:v>
      </x:c>
      <x:c r="D100" t="str">
        <x:v>II B</x:v>
      </x:c>
      <x:c r="E100" s="12" t="n">
        <x:v>29</x:v>
      </x:c>
      <x:c r="F100" s="13" t="n">
        <x:v>42</x:v>
      </x:c>
      <x:c r="G100" s="13" t="n">
        <x:v>30.2</x:v>
      </x:c>
      <x:c r="H100" s="13" t="n">
        <x:f>IF(OR(F100="",G100=""),"",G100-F100)</x:f>
        <x:v>-11.8</x:v>
      </x:c>
      <x:c r="I100" t="str">
        <x:f>IF(G100&lt;50,"NL",IF(G100&lt;66.7,"PL","L"))</x:f>
        <x:v>NL</x:v>
      </x:c>
      <x:c r="J100" t="str">
        <x:v>Álgebra y funciones</x:v>
      </x:c>
      <x:c r="K100" s="13" t="n">
        <x:v>38.5</x:v>
      </x:c>
      <x:c r="L100" t="str">
        <x:v>Geometría</x:v>
      </x:c>
      <x:c r="M100" s="13" t="n">
        <x:v>26.7</x:v>
      </x:c>
      <x:c r="N100" t="str">
        <x:v>MATEMATICA__II-B (HC-310)__planilla.xlsx</x:v>
      </x:c>
    </x:row>
    <x:row r="101">
      <x:c r="A101" t="str">
        <x:v>Lectura</x:v>
      </x:c>
      <x:c r="B101" t="str">
        <x:v>Ens. Media</x:v>
      </x:c>
      <x:c r="C101" t="str">
        <x:v>II° Medio</x:v>
      </x:c>
      <x:c r="D101" t="str">
        <x:v>II C</x:v>
      </x:c>
      <x:c r="E101" s="12" t="n">
        <x:v>37</x:v>
      </x:c>
      <x:c r="F101" s="13" t="n">
        <x:v>47.3</x:v>
      </x:c>
      <x:c r="G101" s="13" t="n">
        <x:v>63.3</x:v>
      </x:c>
      <x:c r="H101" s="13" t="n">
        <x:f>IF(OR(F101="",G101=""),"",G101-F101)</x:f>
        <x:v>16</x:v>
      </x:c>
      <x:c r="I101" t="str">
        <x:f>IF(G101&lt;50,"NL",IF(G101&lt;66.7,"PL","L"))</x:f>
        <x:v>PL</x:v>
      </x:c>
      <x:c r="J101" t="str">
        <x:v>Interpretar y relacionar</x:v>
      </x:c>
      <x:c r="K101" s="13" t="n">
        <x:v>65.9</x:v>
      </x:c>
      <x:c r="L101" t="str">
        <x:v>Reflexionar</x:v>
      </x:c>
      <x:c r="M101" s="13" t="n">
        <x:v>59.9</x:v>
      </x:c>
      <x:c r="N101" t="str">
        <x:v>LECTURA__II-C (HC-310)__planilla.xlsx</x:v>
      </x:c>
    </x:row>
    <x:row r="102">
      <x:c r="A102" t="str">
        <x:v>Matemática</x:v>
      </x:c>
      <x:c r="B102" t="str">
        <x:v>Ens. Media</x:v>
      </x:c>
      <x:c r="C102" t="str">
        <x:v>II° Medio</x:v>
      </x:c>
      <x:c r="D102" t="str">
        <x:v>II C</x:v>
      </x:c>
      <x:c r="E102" s="12" t="n">
        <x:v>36</x:v>
      </x:c>
      <x:c r="F102" s="13" t="n">
        <x:v>27.5</x:v>
      </x:c>
      <x:c r="G102" s="13" t="n">
        <x:v>32.5</x:v>
      </x:c>
      <x:c r="H102" s="13" t="n">
        <x:f>IF(OR(F102="",G102=""),"",G102-F102)</x:f>
        <x:v>5</x:v>
      </x:c>
      <x:c r="I102" t="str">
        <x:f>IF(G102&lt;50,"NL",IF(G102&lt;66.7,"PL","L"))</x:f>
        <x:v>NL</x:v>
      </x:c>
      <x:c r="J102" t="str">
        <x:v>Números</x:v>
      </x:c>
      <x:c r="K102" s="13" t="n">
        <x:v>48.8</x:v>
      </x:c>
      <x:c r="L102" t="str">
        <x:v>Geometría</x:v>
      </x:c>
      <x:c r="M102" s="13" t="n">
        <x:v>14.9</x:v>
      </x:c>
      <x:c r="N102" t="str">
        <x:v>MATEMATICA__II-C (HC-310)__planilla.xlsx</x:v>
      </x:c>
    </x:row>
    <x:row r="103">
      <x:c r="A103" t="str">
        <x:v>Lectura</x:v>
      </x:c>
      <x:c r="B103" t="str">
        <x:v>Ens. Media</x:v>
      </x:c>
      <x:c r="C103" t="str">
        <x:v>II° Medio</x:v>
      </x:c>
      <x:c r="D103" t="str">
        <x:v>II D</x:v>
      </x:c>
      <x:c r="E103" s="12" t="n">
        <x:v>31</x:v>
      </x:c>
      <x:c r="F103" s="13" t="n">
        <x:v>48.1</x:v>
      </x:c>
      <x:c r="G103" s="13" t="n">
        <x:v>73.7</x:v>
      </x:c>
      <x:c r="H103" s="13" t="n">
        <x:f>IF(OR(F103="",G103=""),"",G103-F103)</x:f>
        <x:v>25.6</x:v>
      </x:c>
      <x:c r="I103" t="str">
        <x:f>IF(G103&lt;50,"NL",IF(G103&lt;66.7,"PL","L"))</x:f>
        <x:v>L</x:v>
      </x:c>
      <x:c r="J103" t="str">
        <x:v>Localizar</x:v>
      </x:c>
      <x:c r="K103" s="13" t="n">
        <x:v>81.5</x:v>
      </x:c>
      <x:c r="L103" t="str">
        <x:v>Interpretar y relacionar</x:v>
      </x:c>
      <x:c r="M103" s="13" t="n">
        <x:v>66.5</x:v>
      </x:c>
      <x:c r="N103" t="str">
        <x:v>LECTURA__II-D (HC-310)__planilla.xlsx</x:v>
      </x:c>
    </x:row>
    <x:row r="104">
      <x:c r="A104" t="str">
        <x:v>Matemática</x:v>
      </x:c>
      <x:c r="B104" t="str">
        <x:v>Ens. Media</x:v>
      </x:c>
      <x:c r="C104" t="str">
        <x:v>II° Medio</x:v>
      </x:c>
      <x:c r="D104" t="str">
        <x:v>II D</x:v>
      </x:c>
      <x:c r="E104" s="12" t="n">
        <x:v>30</x:v>
      </x:c>
      <x:c r="F104" s="13" t="n">
        <x:v>26.1</x:v>
      </x:c>
      <x:c r="G104" s="13" t="n">
        <x:v>19.9</x:v>
      </x:c>
      <x:c r="H104" s="13" t="n">
        <x:f>IF(OR(F104="",G104=""),"",G104-F104)</x:f>
        <x:v>-6.200000000000003</x:v>
      </x:c>
      <x:c r="I104" t="str">
        <x:f>IF(G104&lt;50,"NL",IF(G104&lt;66.7,"PL","L"))</x:f>
        <x:v>NL</x:v>
      </x:c>
      <x:c r="J104" t="str">
        <x:v>Números</x:v>
      </x:c>
      <x:c r="K104" s="13" t="n">
        <x:v>31.8</x:v>
      </x:c>
      <x:c r="L104" t="str">
        <x:v>Geometría</x:v>
      </x:c>
      <x:c r="M104" s="13" t="n">
        <x:v>7.1</x:v>
      </x:c>
      <x:c r="N104" t="str">
        <x:v>MATEMATICA__II-D (HC-310)__planilla.xlsx</x:v>
      </x:c>
    </x:row>
    <x:row r="105">
      <x:c r="A105" t="str">
        <x:v>Lectura</x:v>
      </x:c>
      <x:c r="B105" t="str">
        <x:v>Ens. Media</x:v>
      </x:c>
      <x:c r="C105" t="str">
        <x:v>II° Medio</x:v>
      </x:c>
      <x:c r="D105" t="str">
        <x:v>II G</x:v>
      </x:c>
      <x:c r="E105" s="12" t="n">
        <x:v>32</x:v>
      </x:c>
      <x:c r="F105" s="13"/>
      <x:c r="G105" s="13" t="n">
        <x:v>58.5</x:v>
      </x:c>
      <x:c r="H105" s="13" t="str">
        <x:f>IF(OR(F105="",G105=""),"",G105-F105)</x:f>
      </x:c>
      <x:c r="I105" t="str">
        <x:f>IF(G105&lt;50,"NL",IF(G105&lt;66.7,"PL","L"))</x:f>
        <x:v>PL</x:v>
      </x:c>
      <x:c r="J105" t="str">
        <x:v>Localizar</x:v>
      </x:c>
      <x:c r="K105" s="13" t="n">
        <x:v>61.7</x:v>
      </x:c>
      <x:c r="L105" t="str">
        <x:v>Interpretar y relacionar</x:v>
      </x:c>
      <x:c r="M105" s="13" t="n">
        <x:v>55.5</x:v>
      </x:c>
      <x:c r="N105" t="str">
        <x:v>LECTURA__II-G (HC-310)__planilla.xlsx</x:v>
      </x:c>
    </x:row>
    <x:row r="106">
      <x:c r="A106" t="str">
        <x:v>Matemática</x:v>
      </x:c>
      <x:c r="B106" t="str">
        <x:v>Ens. Media</x:v>
      </x:c>
      <x:c r="C106" t="str">
        <x:v>II° Medio</x:v>
      </x:c>
      <x:c r="D106" t="str">
        <x:v>II G</x:v>
      </x:c>
      <x:c r="E106" s="12" t="n">
        <x:v>35</x:v>
      </x:c>
      <x:c r="F106" s="13"/>
      <x:c r="G106" s="13" t="n">
        <x:v>29.8</x:v>
      </x:c>
      <x:c r="H106" s="13" t="str">
        <x:f>IF(OR(F106="",G106=""),"",G106-F106)</x:f>
      </x:c>
      <x:c r="I106" t="str">
        <x:f>IF(G106&lt;50,"NL",IF(G106&lt;66.7,"PL","L"))</x:f>
        <x:v>NL</x:v>
      </x:c>
      <x:c r="J106" t="str">
        <x:v>Números</x:v>
      </x:c>
      <x:c r="K106" s="13" t="n">
        <x:v>36.5</x:v>
      </x:c>
      <x:c r="L106" t="str">
        <x:v>Geometría</x:v>
      </x:c>
      <x:c r="M106" s="13" t="n">
        <x:v>25.7</x:v>
      </x:c>
      <x:c r="N106" t="str">
        <x:v>MATEMATICA__II-G (HC-310)__planilla.xlsx</x:v>
      </x:c>
    </x:row>
  </x:sheetData>
  <x:conditionalFormatting sqref="G2:G106">
    <x:cfRule type="colorScale" priority="1">
      <x:colorScale>
        <x:cfvo type="min"/>
        <x:cfvo type="percentile" val="50"/>
        <x:cfvo type="max"/>
        <x:color rgb="FFFEE2E2"/>
        <x:color rgb="FFFEF3C7"/>
        <x:color rgb="FFD1FAE5"/>
      </x:colorScale>
    </x:cfRule>
  </x:conditionalFormatting>
  <x:conditionalFormatting sqref="H2:H106">
    <x:cfRule type="cellIs" dxfId="0" priority="2" operator="greaterThan">
      <x:formula>0</x:formula>
    </x:cfRule>
    <x:cfRule type="cellIs" dxfId="1" priority="3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6b440897104a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5" hidden="0" customWidth="1"/>
    <x:col min="4" max="4" width="10" hidden="0" customWidth="1"/>
    <x:col min="5" max="5" width="38" hidden="0" customWidth="1"/>
    <x:col min="6" max="6" width="12" hidden="0" customWidth="1"/>
    <x:col min="7" max="7" width="9" hidden="0" customWidth="1"/>
    <x:col min="8" max="8" width="48" hidden="0" customWidth="1"/>
  </x:cols>
  <x:sheetData>
    <x:row r="1" ht="26" customHeight="1">
      <x:c r="A1" s="9" t="str">
        <x:v>Área</x:v>
      </x:c>
      <x:c r="B1" s="10" t="str">
        <x:v>Ciclo</x:v>
      </x:c>
      <x:c r="C1" s="10" t="str">
        <x:v>Nivel</x:v>
      </x:c>
      <x:c r="D1" s="10" t="str">
        <x:v>Curso</x:v>
      </x:c>
      <x:c r="E1" s="10" t="str">
        <x:v>Indicador / eje</x:v>
      </x:c>
      <x:c r="F1" s="10" t="str">
        <x:v>Promedio</x:v>
      </x:c>
      <x:c r="G1" s="10" t="str">
        <x:v>Logro</x:v>
      </x:c>
      <x:c r="H1" s="11" t="str">
        <x:v>Fuente</x:v>
      </x:c>
    </x:row>
    <x:row r="2">
      <x:c r="A2" t="str">
        <x:v>Lectura</x:v>
      </x:c>
      <x:c r="B2" t="str">
        <x:v>1° Ciclo</x:v>
      </x:c>
      <x:c r="C2" t="str">
        <x:v>1° Básico</x:v>
      </x:c>
      <x:c r="D2" t="str">
        <x:v>1°A</x:v>
      </x:c>
      <x:c r="E2" t="str">
        <x:v>Sílaba inicial</x:v>
      </x:c>
      <x:c r="F2" s="13" t="n">
        <x:v>40.5</x:v>
      </x:c>
      <x:c r="G2" t="str">
        <x:f>IF(F2&lt;50,"NL",IF(F2&lt;66.7,"PL","L"))</x:f>
        <x:v>NL</x:v>
      </x:c>
      <x:c r="H2" t="str">
        <x:v>LECTURA__1-A__planilla.xlsx</x:v>
      </x:c>
    </x:row>
    <x:row r="3">
      <x:c r="A3" t="str">
        <x:v>Lectura</x:v>
      </x:c>
      <x:c r="B3" t="str">
        <x:v>1° Ciclo</x:v>
      </x:c>
      <x:c r="C3" t="str">
        <x:v>1° Básico</x:v>
      </x:c>
      <x:c r="D3" t="str">
        <x:v>1°A</x:v>
      </x:c>
      <x:c r="E3" t="str">
        <x:v>Sílaba final</x:v>
      </x:c>
      <x:c r="F3" s="13" t="n">
        <x:v>23.8</x:v>
      </x:c>
      <x:c r="G3" t="str">
        <x:f>IF(F3&lt;50,"NL",IF(F3&lt;66.7,"PL","L"))</x:f>
        <x:v>NL</x:v>
      </x:c>
      <x:c r="H3" t="str">
        <x:v>LECTURA__1-A__planilla.xlsx</x:v>
      </x:c>
    </x:row>
    <x:row r="4">
      <x:c r="A4" t="str">
        <x:v>Lectura</x:v>
      </x:c>
      <x:c r="B4" t="str">
        <x:v>1° Ciclo</x:v>
      </x:c>
      <x:c r="C4" t="str">
        <x:v>1° Básico</x:v>
      </x:c>
      <x:c r="D4" t="str">
        <x:v>1°A</x:v>
      </x:c>
      <x:c r="E4" t="str">
        <x:v>Sonido inicial</x:v>
      </x:c>
      <x:c r="F4" s="13" t="n">
        <x:v>52.4</x:v>
      </x:c>
      <x:c r="G4" t="str">
        <x:f>IF(F4&lt;50,"NL",IF(F4&lt;66.7,"PL","L"))</x:f>
        <x:v>PL</x:v>
      </x:c>
      <x:c r="H4" t="str">
        <x:v>LECTURA__1-A__planilla.xlsx</x:v>
      </x:c>
    </x:row>
    <x:row r="5">
      <x:c r="A5" t="str">
        <x:v>Lectura</x:v>
      </x:c>
      <x:c r="B5" t="str">
        <x:v>1° Ciclo</x:v>
      </x:c>
      <x:c r="C5" t="str">
        <x:v>1° Básico</x:v>
      </x:c>
      <x:c r="D5" t="str">
        <x:v>1°A</x:v>
      </x:c>
      <x:c r="E5" t="str">
        <x:v>Sonido final</x:v>
      </x:c>
      <x:c r="F5" s="13" t="n">
        <x:v>47.6</x:v>
      </x:c>
      <x:c r="G5" t="str">
        <x:f>IF(F5&lt;50,"NL",IF(F5&lt;66.7,"PL","L"))</x:f>
        <x:v>NL</x:v>
      </x:c>
      <x:c r="H5" t="str">
        <x:v>LECTURA__1-A__planilla.xlsx</x:v>
      </x:c>
    </x:row>
    <x:row r="6">
      <x:c r="A6" t="str">
        <x:v>Lectura</x:v>
      </x:c>
      <x:c r="B6" t="str">
        <x:v>1° Ciclo</x:v>
      </x:c>
      <x:c r="C6" t="str">
        <x:v>1° Básico</x:v>
      </x:c>
      <x:c r="D6" t="str">
        <x:v>1°A</x:v>
      </x:c>
      <x:c r="E6" t="str">
        <x:v>Vocales     A, E, U</x:v>
      </x:c>
      <x:c r="F6" s="13" t="n">
        <x:v>76.2</x:v>
      </x:c>
      <x:c r="G6" t="str">
        <x:f>IF(F6&lt;50,"NL",IF(F6&lt;66.7,"PL","L"))</x:f>
        <x:v>L</x:v>
      </x:c>
      <x:c r="H6" t="str">
        <x:v>LECTURA__1-A__planilla.xlsx</x:v>
      </x:c>
    </x:row>
    <x:row r="7">
      <x:c r="A7" t="str">
        <x:v>Lectura</x:v>
      </x:c>
      <x:c r="B7" t="str">
        <x:v>1° Ciclo</x:v>
      </x:c>
      <x:c r="C7" t="str">
        <x:v>1° Básico</x:v>
      </x:c>
      <x:c r="D7" t="str">
        <x:v>1°A</x:v>
      </x:c>
      <x:c r="E7" t="str">
        <x:v>Cons.       M, L, P, S</x:v>
      </x:c>
      <x:c r="F7" s="13" t="n">
        <x:v>71.4</x:v>
      </x:c>
      <x:c r="G7" t="str">
        <x:f>IF(F7&lt;50,"NL",IF(F7&lt;66.7,"PL","L"))</x:f>
        <x:v>L</x:v>
      </x:c>
      <x:c r="H7" t="str">
        <x:v>LECTURA__1-A__planilla.xlsx</x:v>
      </x:c>
    </x:row>
    <x:row r="8">
      <x:c r="A8" t="str">
        <x:v>Lectura</x:v>
      </x:c>
      <x:c r="B8" t="str">
        <x:v>1° Ciclo</x:v>
      </x:c>
      <x:c r="C8" t="str">
        <x:v>1° Básico</x:v>
      </x:c>
      <x:c r="D8" t="str">
        <x:v>1°A</x:v>
      </x:c>
      <x:c r="E8" t="str">
        <x:v>Cons.        D, T, N, R</x:v>
      </x:c>
      <x:c r="F8" s="13" t="n">
        <x:v>52.4</x:v>
      </x:c>
      <x:c r="G8" t="str">
        <x:f>IF(F8&lt;50,"NL",IF(F8&lt;66.7,"PL","L"))</x:f>
        <x:v>PL</x:v>
      </x:c>
      <x:c r="H8" t="str">
        <x:v>LECTURA__1-A__planilla.xlsx</x:v>
      </x:c>
    </x:row>
    <x:row r="9">
      <x:c r="A9" t="str">
        <x:v>Lectura</x:v>
      </x:c>
      <x:c r="B9" t="str">
        <x:v>1° Ciclo</x:v>
      </x:c>
      <x:c r="C9" t="str">
        <x:v>1° Básico</x:v>
      </x:c>
      <x:c r="D9" t="str">
        <x:v>1°A</x:v>
      </x:c>
      <x:c r="E9" t="str">
        <x:v>Sílaba directa</x:v>
      </x:c>
      <x:c r="F9" s="13" t="n">
        <x:v>71.4</x:v>
      </x:c>
      <x:c r="G9" t="str">
        <x:f>IF(F9&lt;50,"NL",IF(F9&lt;66.7,"PL","L"))</x:f>
        <x:v>L</x:v>
      </x:c>
      <x:c r="H9" t="str">
        <x:v>LECTURA__1-A__planilla.xlsx</x:v>
      </x:c>
    </x:row>
    <x:row r="10">
      <x:c r="A10" t="str">
        <x:v>Lectura</x:v>
      </x:c>
      <x:c r="B10" t="str">
        <x:v>1° Ciclo</x:v>
      </x:c>
      <x:c r="C10" t="str">
        <x:v>1° Básico</x:v>
      </x:c>
      <x:c r="D10" t="str">
        <x:v>1°A</x:v>
      </x:c>
      <x:c r="E10" t="str">
        <x:v>Sílaba indirecta</x:v>
      </x:c>
      <x:c r="F10" s="13" t="n">
        <x:v>64.3</x:v>
      </x:c>
      <x:c r="G10" t="str">
        <x:f>IF(F10&lt;50,"NL",IF(F10&lt;66.7,"PL","L"))</x:f>
        <x:v>PL</x:v>
      </x:c>
      <x:c r="H10" t="str">
        <x:v>LECTURA__1-A__planilla.xlsx</x:v>
      </x:c>
    </x:row>
    <x:row r="11">
      <x:c r="A11" t="str">
        <x:v>Matemática</x:v>
      </x:c>
      <x:c r="B11" t="str">
        <x:v>1° Ciclo</x:v>
      </x:c>
      <x:c r="C11" t="str">
        <x:v>1° Básico</x:v>
      </x:c>
      <x:c r="D11" t="str">
        <x:v>1°A</x:v>
      </x:c>
      <x:c r="E11" t="str">
        <x:v>Números y operaciones</x:v>
      </x:c>
      <x:c r="F11" s="13" t="n">
        <x:v>63</x:v>
      </x:c>
      <x:c r="G11" t="str">
        <x:f>IF(F11&lt;50,"NL",IF(F11&lt;66.7,"PL","L"))</x:f>
        <x:v>PL</x:v>
      </x:c>
      <x:c r="H11" t="str">
        <x:v>MATEMATICA__1-A__planilla.xlsx</x:v>
      </x:c>
    </x:row>
    <x:row r="12">
      <x:c r="A12" t="str">
        <x:v>Matemática</x:v>
      </x:c>
      <x:c r="B12" t="str">
        <x:v>1° Ciclo</x:v>
      </x:c>
      <x:c r="C12" t="str">
        <x:v>1° Básico</x:v>
      </x:c>
      <x:c r="D12" t="str">
        <x:v>1°A</x:v>
      </x:c>
      <x:c r="E12" t="str">
        <x:v>Patrones y álgebra</x:v>
      </x:c>
      <x:c r="F12" s="13" t="n">
        <x:v>57.1</x:v>
      </x:c>
      <x:c r="G12" t="str">
        <x:f>IF(F12&lt;50,"NL",IF(F12&lt;66.7,"PL","L"))</x:f>
        <x:v>PL</x:v>
      </x:c>
      <x:c r="H12" t="str">
        <x:v>MATEMATICA__1-A__planilla.xlsx</x:v>
      </x:c>
    </x:row>
    <x:row r="13">
      <x:c r="A13" t="str">
        <x:v>Matemática</x:v>
      </x:c>
      <x:c r="B13" t="str">
        <x:v>1° Ciclo</x:v>
      </x:c>
      <x:c r="C13" t="str">
        <x:v>1° Básico</x:v>
      </x:c>
      <x:c r="D13" t="str">
        <x:v>1°A</x:v>
      </x:c>
      <x:c r="E13" t="str">
        <x:v>Geometría</x:v>
      </x:c>
      <x:c r="F13" s="13" t="n">
        <x:v>81</x:v>
      </x:c>
      <x:c r="G13" t="str">
        <x:f>IF(F13&lt;50,"NL",IF(F13&lt;66.7,"PL","L"))</x:f>
        <x:v>L</x:v>
      </x:c>
      <x:c r="H13" t="str">
        <x:v>MATEMATICA__1-A__planilla.xlsx</x:v>
      </x:c>
    </x:row>
    <x:row r="14">
      <x:c r="A14" t="str">
        <x:v>Matemática</x:v>
      </x:c>
      <x:c r="B14" t="str">
        <x:v>1° Ciclo</x:v>
      </x:c>
      <x:c r="C14" t="str">
        <x:v>1° Básico</x:v>
      </x:c>
      <x:c r="D14" t="str">
        <x:v>1°A</x:v>
      </x:c>
      <x:c r="E14" t="str">
        <x:v>Medición</x:v>
      </x:c>
      <x:c r="F14" s="13" t="n">
        <x:v>61.9</x:v>
      </x:c>
      <x:c r="G14" t="str">
        <x:f>IF(F14&lt;50,"NL",IF(F14&lt;66.7,"PL","L"))</x:f>
        <x:v>PL</x:v>
      </x:c>
      <x:c r="H14" t="str">
        <x:v>MATEMATICA__1-A__planilla.xlsx</x:v>
      </x:c>
    </x:row>
    <x:row r="15">
      <x:c r="A15" t="str">
        <x:v>Matemática</x:v>
      </x:c>
      <x:c r="B15" t="str">
        <x:v>1° Ciclo</x:v>
      </x:c>
      <x:c r="C15" t="str">
        <x:v>1° Básico</x:v>
      </x:c>
      <x:c r="D15" t="str">
        <x:v>1°A</x:v>
      </x:c>
      <x:c r="E15" t="str">
        <x:v>Datos y probabilidades</x:v>
      </x:c>
      <x:c r="F15" s="13" t="n">
        <x:v>72.6</x:v>
      </x:c>
      <x:c r="G15" t="str">
        <x:f>IF(F15&lt;50,"NL",IF(F15&lt;66.7,"PL","L"))</x:f>
        <x:v>L</x:v>
      </x:c>
      <x:c r="H15" t="str">
        <x:v>MATEMATICA__1-A__planilla.xlsx</x:v>
      </x:c>
    </x:row>
    <x:row r="16">
      <x:c r="A16" t="str">
        <x:v>Lectura</x:v>
      </x:c>
      <x:c r="B16" t="str">
        <x:v>1° Ciclo</x:v>
      </x:c>
      <x:c r="C16" t="str">
        <x:v>1° Básico</x:v>
      </x:c>
      <x:c r="D16" t="str">
        <x:v>1°B</x:v>
      </x:c>
      <x:c r="E16" t="str">
        <x:v>Sílaba inicial</x:v>
      </x:c>
      <x:c r="F16" s="13" t="n">
        <x:v>45.9</x:v>
      </x:c>
      <x:c r="G16" t="str">
        <x:f>IF(F16&lt;50,"NL",IF(F16&lt;66.7,"PL","L"))</x:f>
        <x:v>NL</x:v>
      </x:c>
      <x:c r="H16" t="str">
        <x:v>LECTURA__1-B__planilla.xlsx</x:v>
      </x:c>
    </x:row>
    <x:row r="17">
      <x:c r="A17" t="str">
        <x:v>Lectura</x:v>
      </x:c>
      <x:c r="B17" t="str">
        <x:v>1° Ciclo</x:v>
      </x:c>
      <x:c r="C17" t="str">
        <x:v>1° Básico</x:v>
      </x:c>
      <x:c r="D17" t="str">
        <x:v>1°B</x:v>
      </x:c>
      <x:c r="E17" t="str">
        <x:v>Sílaba final</x:v>
      </x:c>
      <x:c r="F17" s="13" t="n">
        <x:v>43.2</x:v>
      </x:c>
      <x:c r="G17" t="str">
        <x:f>IF(F17&lt;50,"NL",IF(F17&lt;66.7,"PL","L"))</x:f>
        <x:v>NL</x:v>
      </x:c>
      <x:c r="H17" t="str">
        <x:v>LECTURA__1-B__planilla.xlsx</x:v>
      </x:c>
    </x:row>
    <x:row r="18">
      <x:c r="A18" t="str">
        <x:v>Lectura</x:v>
      </x:c>
      <x:c r="B18" t="str">
        <x:v>1° Ciclo</x:v>
      </x:c>
      <x:c r="C18" t="str">
        <x:v>1° Básico</x:v>
      </x:c>
      <x:c r="D18" t="str">
        <x:v>1°B</x:v>
      </x:c>
      <x:c r="E18" t="str">
        <x:v>Sonido inicial</x:v>
      </x:c>
      <x:c r="F18" s="13" t="n">
        <x:v>54.1</x:v>
      </x:c>
      <x:c r="G18" t="str">
        <x:f>IF(F18&lt;50,"NL",IF(F18&lt;66.7,"PL","L"))</x:f>
        <x:v>PL</x:v>
      </x:c>
      <x:c r="H18" t="str">
        <x:v>LECTURA__1-B__planilla.xlsx</x:v>
      </x:c>
    </x:row>
    <x:row r="19">
      <x:c r="A19" t="str">
        <x:v>Lectura</x:v>
      </x:c>
      <x:c r="B19" t="str">
        <x:v>1° Ciclo</x:v>
      </x:c>
      <x:c r="C19" t="str">
        <x:v>1° Básico</x:v>
      </x:c>
      <x:c r="D19" t="str">
        <x:v>1°B</x:v>
      </x:c>
      <x:c r="E19" t="str">
        <x:v>Sonido final</x:v>
      </x:c>
      <x:c r="F19" s="13" t="n">
        <x:v>54.1</x:v>
      </x:c>
      <x:c r="G19" t="str">
        <x:f>IF(F19&lt;50,"NL",IF(F19&lt;66.7,"PL","L"))</x:f>
        <x:v>PL</x:v>
      </x:c>
      <x:c r="H19" t="str">
        <x:v>LECTURA__1-B__planilla.xlsx</x:v>
      </x:c>
    </x:row>
    <x:row r="20">
      <x:c r="A20" t="str">
        <x:v>Lectura</x:v>
      </x:c>
      <x:c r="B20" t="str">
        <x:v>1° Ciclo</x:v>
      </x:c>
      <x:c r="C20" t="str">
        <x:v>1° Básico</x:v>
      </x:c>
      <x:c r="D20" t="str">
        <x:v>1°B</x:v>
      </x:c>
      <x:c r="E20" t="str">
        <x:v>Vocales     A, E, U</x:v>
      </x:c>
      <x:c r="F20" s="13" t="n">
        <x:v>86.5</x:v>
      </x:c>
      <x:c r="G20" t="str">
        <x:f>IF(F20&lt;50,"NL",IF(F20&lt;66.7,"PL","L"))</x:f>
        <x:v>L</x:v>
      </x:c>
      <x:c r="H20" t="str">
        <x:v>LECTURA__1-B__planilla.xlsx</x:v>
      </x:c>
    </x:row>
    <x:row r="21">
      <x:c r="A21" t="str">
        <x:v>Lectura</x:v>
      </x:c>
      <x:c r="B21" t="str">
        <x:v>1° Ciclo</x:v>
      </x:c>
      <x:c r="C21" t="str">
        <x:v>1° Básico</x:v>
      </x:c>
      <x:c r="D21" t="str">
        <x:v>1°B</x:v>
      </x:c>
      <x:c r="E21" t="str">
        <x:v>Cons.       M, L, P, S</x:v>
      </x:c>
      <x:c r="F21" s="13" t="n">
        <x:v>81.1</x:v>
      </x:c>
      <x:c r="G21" t="str">
        <x:f>IF(F21&lt;50,"NL",IF(F21&lt;66.7,"PL","L"))</x:f>
        <x:v>L</x:v>
      </x:c>
      <x:c r="H21" t="str">
        <x:v>LECTURA__1-B__planilla.xlsx</x:v>
      </x:c>
    </x:row>
    <x:row r="22">
      <x:c r="A22" t="str">
        <x:v>Lectura</x:v>
      </x:c>
      <x:c r="B22" t="str">
        <x:v>1° Ciclo</x:v>
      </x:c>
      <x:c r="C22" t="str">
        <x:v>1° Básico</x:v>
      </x:c>
      <x:c r="D22" t="str">
        <x:v>1°B</x:v>
      </x:c>
      <x:c r="E22" t="str">
        <x:v>Cons.        D, T, N, R</x:v>
      </x:c>
      <x:c r="F22" s="13" t="n">
        <x:v>73</x:v>
      </x:c>
      <x:c r="G22" t="str">
        <x:f>IF(F22&lt;50,"NL",IF(F22&lt;66.7,"PL","L"))</x:f>
        <x:v>L</x:v>
      </x:c>
      <x:c r="H22" t="str">
        <x:v>LECTURA__1-B__planilla.xlsx</x:v>
      </x:c>
    </x:row>
    <x:row r="23">
      <x:c r="A23" t="str">
        <x:v>Lectura</x:v>
      </x:c>
      <x:c r="B23" t="str">
        <x:v>1° Ciclo</x:v>
      </x:c>
      <x:c r="C23" t="str">
        <x:v>1° Básico</x:v>
      </x:c>
      <x:c r="D23" t="str">
        <x:v>1°B</x:v>
      </x:c>
      <x:c r="E23" t="str">
        <x:v>Sílaba directa</x:v>
      </x:c>
      <x:c r="F23" s="13" t="n">
        <x:v>67.6</x:v>
      </x:c>
      <x:c r="G23" t="str">
        <x:f>IF(F23&lt;50,"NL",IF(F23&lt;66.7,"PL","L"))</x:f>
        <x:v>L</x:v>
      </x:c>
      <x:c r="H23" t="str">
        <x:v>LECTURA__1-B__planilla.xlsx</x:v>
      </x:c>
    </x:row>
    <x:row r="24">
      <x:c r="A24" t="str">
        <x:v>Lectura</x:v>
      </x:c>
      <x:c r="B24" t="str">
        <x:v>1° Ciclo</x:v>
      </x:c>
      <x:c r="C24" t="str">
        <x:v>1° Básico</x:v>
      </x:c>
      <x:c r="D24" t="str">
        <x:v>1°B</x:v>
      </x:c>
      <x:c r="E24" t="str">
        <x:v>Sílaba indirecta</x:v>
      </x:c>
      <x:c r="F24" s="13" t="n">
        <x:v>59.5</x:v>
      </x:c>
      <x:c r="G24" t="str">
        <x:f>IF(F24&lt;50,"NL",IF(F24&lt;66.7,"PL","L"))</x:f>
        <x:v>PL</x:v>
      </x:c>
      <x:c r="H24" t="str">
        <x:v>LECTURA__1-B__planilla.xlsx</x:v>
      </x:c>
    </x:row>
    <x:row r="25">
      <x:c r="A25" t="str">
        <x:v>Matemática</x:v>
      </x:c>
      <x:c r="B25" t="str">
        <x:v>1° Ciclo</x:v>
      </x:c>
      <x:c r="C25" t="str">
        <x:v>1° Básico</x:v>
      </x:c>
      <x:c r="D25" t="str">
        <x:v>1°B</x:v>
      </x:c>
      <x:c r="E25" t="str">
        <x:v>Números y operaciones</x:v>
      </x:c>
      <x:c r="F25" s="13" t="n">
        <x:v>79.8</x:v>
      </x:c>
      <x:c r="G25" t="str">
        <x:f>IF(F25&lt;50,"NL",IF(F25&lt;66.7,"PL","L"))</x:f>
        <x:v>L</x:v>
      </x:c>
      <x:c r="H25" t="str">
        <x:v>MATEMATICA__1-B__planilla.xlsx</x:v>
      </x:c>
    </x:row>
    <x:row r="26">
      <x:c r="A26" t="str">
        <x:v>Matemática</x:v>
      </x:c>
      <x:c r="B26" t="str">
        <x:v>1° Ciclo</x:v>
      </x:c>
      <x:c r="C26" t="str">
        <x:v>1° Básico</x:v>
      </x:c>
      <x:c r="D26" t="str">
        <x:v>1°B</x:v>
      </x:c>
      <x:c r="E26" t="str">
        <x:v>Patrones y álgebra</x:v>
      </x:c>
      <x:c r="F26" s="13" t="n">
        <x:v>67.6</x:v>
      </x:c>
      <x:c r="G26" t="str">
        <x:f>IF(F26&lt;50,"NL",IF(F26&lt;66.7,"PL","L"))</x:f>
        <x:v>L</x:v>
      </x:c>
      <x:c r="H26" t="str">
        <x:v>MATEMATICA__1-B__planilla.xlsx</x:v>
      </x:c>
    </x:row>
    <x:row r="27">
      <x:c r="A27" t="str">
        <x:v>Matemática</x:v>
      </x:c>
      <x:c r="B27" t="str">
        <x:v>1° Ciclo</x:v>
      </x:c>
      <x:c r="C27" t="str">
        <x:v>1° Básico</x:v>
      </x:c>
      <x:c r="D27" t="str">
        <x:v>1°B</x:v>
      </x:c>
      <x:c r="E27" t="str">
        <x:v>Geometría</x:v>
      </x:c>
      <x:c r="F27" s="13" t="n">
        <x:v>83.8</x:v>
      </x:c>
      <x:c r="G27" t="str">
        <x:f>IF(F27&lt;50,"NL",IF(F27&lt;66.7,"PL","L"))</x:f>
        <x:v>L</x:v>
      </x:c>
      <x:c r="H27" t="str">
        <x:v>MATEMATICA__1-B__planilla.xlsx</x:v>
      </x:c>
    </x:row>
    <x:row r="28">
      <x:c r="A28" t="str">
        <x:v>Matemática</x:v>
      </x:c>
      <x:c r="B28" t="str">
        <x:v>1° Ciclo</x:v>
      </x:c>
      <x:c r="C28" t="str">
        <x:v>1° Básico</x:v>
      </x:c>
      <x:c r="D28" t="str">
        <x:v>1°B</x:v>
      </x:c>
      <x:c r="E28" t="str">
        <x:v>Medición</x:v>
      </x:c>
      <x:c r="F28" s="13" t="n">
        <x:v>48.6</x:v>
      </x:c>
      <x:c r="G28" t="str">
        <x:f>IF(F28&lt;50,"NL",IF(F28&lt;66.7,"PL","L"))</x:f>
        <x:v>NL</x:v>
      </x:c>
      <x:c r="H28" t="str">
        <x:v>MATEMATICA__1-B__planilla.xlsx</x:v>
      </x:c>
    </x:row>
    <x:row r="29">
      <x:c r="A29" t="str">
        <x:v>Matemática</x:v>
      </x:c>
      <x:c r="B29" t="str">
        <x:v>1° Ciclo</x:v>
      </x:c>
      <x:c r="C29" t="str">
        <x:v>1° Básico</x:v>
      </x:c>
      <x:c r="D29" t="str">
        <x:v>1°B</x:v>
      </x:c>
      <x:c r="E29" t="str">
        <x:v>Datos y probabilidades</x:v>
      </x:c>
      <x:c r="F29" s="13" t="n">
        <x:v>71.6</x:v>
      </x:c>
      <x:c r="G29" t="str">
        <x:f>IF(F29&lt;50,"NL",IF(F29&lt;66.7,"PL","L"))</x:f>
        <x:v>L</x:v>
      </x:c>
      <x:c r="H29" t="str">
        <x:v>MATEMATICA__1-B__planilla.xlsx</x:v>
      </x:c>
    </x:row>
    <x:row r="30">
      <x:c r="A30" t="str">
        <x:v>Lectura</x:v>
      </x:c>
      <x:c r="B30" t="str">
        <x:v>1° Ciclo</x:v>
      </x:c>
      <x:c r="C30" t="str">
        <x:v>1° Básico</x:v>
      </x:c>
      <x:c r="D30" t="str">
        <x:v>1°C</x:v>
      </x:c>
      <x:c r="E30" t="str">
        <x:v>Sílaba inicial</x:v>
      </x:c>
      <x:c r="F30" s="13" t="n">
        <x:v>61.8</x:v>
      </x:c>
      <x:c r="G30" t="str">
        <x:f>IF(F30&lt;50,"NL",IF(F30&lt;66.7,"PL","L"))</x:f>
        <x:v>PL</x:v>
      </x:c>
      <x:c r="H30" t="str">
        <x:v>LECTURA__1-C__planilla.xlsx</x:v>
      </x:c>
    </x:row>
    <x:row r="31">
      <x:c r="A31" t="str">
        <x:v>Lectura</x:v>
      </x:c>
      <x:c r="B31" t="str">
        <x:v>1° Ciclo</x:v>
      </x:c>
      <x:c r="C31" t="str">
        <x:v>1° Básico</x:v>
      </x:c>
      <x:c r="D31" t="str">
        <x:v>1°C</x:v>
      </x:c>
      <x:c r="E31" t="str">
        <x:v>Sílaba final</x:v>
      </x:c>
      <x:c r="F31" s="13" t="n">
        <x:v>58.8</x:v>
      </x:c>
      <x:c r="G31" t="str">
        <x:f>IF(F31&lt;50,"NL",IF(F31&lt;66.7,"PL","L"))</x:f>
        <x:v>PL</x:v>
      </x:c>
      <x:c r="H31" t="str">
        <x:v>LECTURA__1-C__planilla.xlsx</x:v>
      </x:c>
    </x:row>
    <x:row r="32">
      <x:c r="A32" t="str">
        <x:v>Lectura</x:v>
      </x:c>
      <x:c r="B32" t="str">
        <x:v>1° Ciclo</x:v>
      </x:c>
      <x:c r="C32" t="str">
        <x:v>1° Básico</x:v>
      </x:c>
      <x:c r="D32" t="str">
        <x:v>1°C</x:v>
      </x:c>
      <x:c r="E32" t="str">
        <x:v>Sonido inicial</x:v>
      </x:c>
      <x:c r="F32" s="13" t="n">
        <x:v>67.6</x:v>
      </x:c>
      <x:c r="G32" t="str">
        <x:f>IF(F32&lt;50,"NL",IF(F32&lt;66.7,"PL","L"))</x:f>
        <x:v>L</x:v>
      </x:c>
      <x:c r="H32" t="str">
        <x:v>LECTURA__1-C__planilla.xlsx</x:v>
      </x:c>
    </x:row>
    <x:row r="33">
      <x:c r="A33" t="str">
        <x:v>Lectura</x:v>
      </x:c>
      <x:c r="B33" t="str">
        <x:v>1° Ciclo</x:v>
      </x:c>
      <x:c r="C33" t="str">
        <x:v>1° Básico</x:v>
      </x:c>
      <x:c r="D33" t="str">
        <x:v>1°C</x:v>
      </x:c>
      <x:c r="E33" t="str">
        <x:v>Sonido final</x:v>
      </x:c>
      <x:c r="F33" s="13" t="n">
        <x:v>58.8</x:v>
      </x:c>
      <x:c r="G33" t="str">
        <x:f>IF(F33&lt;50,"NL",IF(F33&lt;66.7,"PL","L"))</x:f>
        <x:v>PL</x:v>
      </x:c>
      <x:c r="H33" t="str">
        <x:v>LECTURA__1-C__planilla.xlsx</x:v>
      </x:c>
    </x:row>
    <x:row r="34">
      <x:c r="A34" t="str">
        <x:v>Lectura</x:v>
      </x:c>
      <x:c r="B34" t="str">
        <x:v>1° Ciclo</x:v>
      </x:c>
      <x:c r="C34" t="str">
        <x:v>1° Básico</x:v>
      </x:c>
      <x:c r="D34" t="str">
        <x:v>1°C</x:v>
      </x:c>
      <x:c r="E34" t="str">
        <x:v>Vocales     A, E, U</x:v>
      </x:c>
      <x:c r="F34" s="13" t="n">
        <x:v>82.4</x:v>
      </x:c>
      <x:c r="G34" t="str">
        <x:f>IF(F34&lt;50,"NL",IF(F34&lt;66.7,"PL","L"))</x:f>
        <x:v>L</x:v>
      </x:c>
      <x:c r="H34" t="str">
        <x:v>LECTURA__1-C__planilla.xlsx</x:v>
      </x:c>
    </x:row>
    <x:row r="35">
      <x:c r="A35" t="str">
        <x:v>Lectura</x:v>
      </x:c>
      <x:c r="B35" t="str">
        <x:v>1° Ciclo</x:v>
      </x:c>
      <x:c r="C35" t="str">
        <x:v>1° Básico</x:v>
      </x:c>
      <x:c r="D35" t="str">
        <x:v>1°C</x:v>
      </x:c>
      <x:c r="E35" t="str">
        <x:v>Cons.       M, L, P, S</x:v>
      </x:c>
      <x:c r="F35" s="13" t="n">
        <x:v>64.7</x:v>
      </x:c>
      <x:c r="G35" t="str">
        <x:f>IF(F35&lt;50,"NL",IF(F35&lt;66.7,"PL","L"))</x:f>
        <x:v>PL</x:v>
      </x:c>
      <x:c r="H35" t="str">
        <x:v>LECTURA__1-C__planilla.xlsx</x:v>
      </x:c>
    </x:row>
    <x:row r="36">
      <x:c r="A36" t="str">
        <x:v>Lectura</x:v>
      </x:c>
      <x:c r="B36" t="str">
        <x:v>1° Ciclo</x:v>
      </x:c>
      <x:c r="C36" t="str">
        <x:v>1° Básico</x:v>
      </x:c>
      <x:c r="D36" t="str">
        <x:v>1°C</x:v>
      </x:c>
      <x:c r="E36" t="str">
        <x:v>Cons.        D, T, N, R</x:v>
      </x:c>
      <x:c r="F36" s="13" t="n">
        <x:v>47.1</x:v>
      </x:c>
      <x:c r="G36" t="str">
        <x:f>IF(F36&lt;50,"NL",IF(F36&lt;66.7,"PL","L"))</x:f>
        <x:v>NL</x:v>
      </x:c>
      <x:c r="H36" t="str">
        <x:v>LECTURA__1-C__planilla.xlsx</x:v>
      </x:c>
    </x:row>
    <x:row r="37">
      <x:c r="A37" t="str">
        <x:v>Lectura</x:v>
      </x:c>
      <x:c r="B37" t="str">
        <x:v>1° Ciclo</x:v>
      </x:c>
      <x:c r="C37" t="str">
        <x:v>1° Básico</x:v>
      </x:c>
      <x:c r="D37" t="str">
        <x:v>1°C</x:v>
      </x:c>
      <x:c r="E37" t="str">
        <x:v>Sílaba directa</x:v>
      </x:c>
      <x:c r="F37" s="13" t="n">
        <x:v>55.9</x:v>
      </x:c>
      <x:c r="G37" t="str">
        <x:f>IF(F37&lt;50,"NL",IF(F37&lt;66.7,"PL","L"))</x:f>
        <x:v>PL</x:v>
      </x:c>
      <x:c r="H37" t="str">
        <x:v>LECTURA__1-C__planilla.xlsx</x:v>
      </x:c>
    </x:row>
    <x:row r="38">
      <x:c r="A38" t="str">
        <x:v>Lectura</x:v>
      </x:c>
      <x:c r="B38" t="str">
        <x:v>1° Ciclo</x:v>
      </x:c>
      <x:c r="C38" t="str">
        <x:v>1° Básico</x:v>
      </x:c>
      <x:c r="D38" t="str">
        <x:v>1°C</x:v>
      </x:c>
      <x:c r="E38" t="str">
        <x:v>Sílaba indirecta</x:v>
      </x:c>
      <x:c r="F38" s="13" t="n">
        <x:v>52.9</x:v>
      </x:c>
      <x:c r="G38" t="str">
        <x:f>IF(F38&lt;50,"NL",IF(F38&lt;66.7,"PL","L"))</x:f>
        <x:v>PL</x:v>
      </x:c>
      <x:c r="H38" t="str">
        <x:v>LECTURA__1-C__planilla.xlsx</x:v>
      </x:c>
    </x:row>
    <x:row r="39">
      <x:c r="A39" t="str">
        <x:v>Matemática</x:v>
      </x:c>
      <x:c r="B39" t="str">
        <x:v>1° Ciclo</x:v>
      </x:c>
      <x:c r="C39" t="str">
        <x:v>1° Básico</x:v>
      </x:c>
      <x:c r="D39" t="str">
        <x:v>1°C</x:v>
      </x:c>
      <x:c r="E39" t="str">
        <x:v>Números y operaciones</x:v>
      </x:c>
      <x:c r="F39" s="13" t="n">
        <x:v>80</x:v>
      </x:c>
      <x:c r="G39" t="str">
        <x:f>IF(F39&lt;50,"NL",IF(F39&lt;66.7,"PL","L"))</x:f>
        <x:v>L</x:v>
      </x:c>
      <x:c r="H39" t="str">
        <x:v>MATEMATICA__1-C__planilla.xlsx</x:v>
      </x:c>
    </x:row>
    <x:row r="40">
      <x:c r="A40" t="str">
        <x:v>Matemática</x:v>
      </x:c>
      <x:c r="B40" t="str">
        <x:v>1° Ciclo</x:v>
      </x:c>
      <x:c r="C40" t="str">
        <x:v>1° Básico</x:v>
      </x:c>
      <x:c r="D40" t="str">
        <x:v>1°C</x:v>
      </x:c>
      <x:c r="E40" t="str">
        <x:v>Patrones y álgebra</x:v>
      </x:c>
      <x:c r="F40" s="13" t="n">
        <x:v>62.9</x:v>
      </x:c>
      <x:c r="G40" t="str">
        <x:f>IF(F40&lt;50,"NL",IF(F40&lt;66.7,"PL","L"))</x:f>
        <x:v>PL</x:v>
      </x:c>
      <x:c r="H40" t="str">
        <x:v>MATEMATICA__1-C__planilla.xlsx</x:v>
      </x:c>
    </x:row>
    <x:row r="41">
      <x:c r="A41" t="str">
        <x:v>Matemática</x:v>
      </x:c>
      <x:c r="B41" t="str">
        <x:v>1° Ciclo</x:v>
      </x:c>
      <x:c r="C41" t="str">
        <x:v>1° Básico</x:v>
      </x:c>
      <x:c r="D41" t="str">
        <x:v>1°C</x:v>
      </x:c>
      <x:c r="E41" t="str">
        <x:v>Geometría</x:v>
      </x:c>
      <x:c r="F41" s="13" t="n">
        <x:v>85.7</x:v>
      </x:c>
      <x:c r="G41" t="str">
        <x:f>IF(F41&lt;50,"NL",IF(F41&lt;66.7,"PL","L"))</x:f>
        <x:v>L</x:v>
      </x:c>
      <x:c r="H41" t="str">
        <x:v>MATEMATICA__1-C__planilla.xlsx</x:v>
      </x:c>
    </x:row>
    <x:row r="42">
      <x:c r="A42" t="str">
        <x:v>Matemática</x:v>
      </x:c>
      <x:c r="B42" t="str">
        <x:v>1° Ciclo</x:v>
      </x:c>
      <x:c r="C42" t="str">
        <x:v>1° Básico</x:v>
      </x:c>
      <x:c r="D42" t="str">
        <x:v>1°C</x:v>
      </x:c>
      <x:c r="E42" t="str">
        <x:v>Medición</x:v>
      </x:c>
      <x:c r="F42" s="13" t="n">
        <x:v>58.6</x:v>
      </x:c>
      <x:c r="G42" t="str">
        <x:f>IF(F42&lt;50,"NL",IF(F42&lt;66.7,"PL","L"))</x:f>
        <x:v>PL</x:v>
      </x:c>
      <x:c r="H42" t="str">
        <x:v>MATEMATICA__1-C__planilla.xlsx</x:v>
      </x:c>
    </x:row>
    <x:row r="43">
      <x:c r="A43" t="str">
        <x:v>Matemática</x:v>
      </x:c>
      <x:c r="B43" t="str">
        <x:v>1° Ciclo</x:v>
      </x:c>
      <x:c r="C43" t="str">
        <x:v>1° Básico</x:v>
      </x:c>
      <x:c r="D43" t="str">
        <x:v>1°C</x:v>
      </x:c>
      <x:c r="E43" t="str">
        <x:v>Datos y probabilidades</x:v>
      </x:c>
      <x:c r="F43" s="13" t="n">
        <x:v>84.3</x:v>
      </x:c>
      <x:c r="G43" t="str">
        <x:f>IF(F43&lt;50,"NL",IF(F43&lt;66.7,"PL","L"))</x:f>
        <x:v>L</x:v>
      </x:c>
      <x:c r="H43" t="str">
        <x:v>MATEMATICA__1-C__planilla.xlsx</x:v>
      </x:c>
    </x:row>
    <x:row r="44">
      <x:c r="A44" t="str">
        <x:v>Lectura</x:v>
      </x:c>
      <x:c r="B44" t="str">
        <x:v>1° Ciclo</x:v>
      </x:c>
      <x:c r="C44" t="str">
        <x:v>2° Básico</x:v>
      </x:c>
      <x:c r="D44" t="str">
        <x:v>2°A</x:v>
      </x:c>
      <x:c r="E44" t="str">
        <x:v>Localizar</x:v>
      </x:c>
      <x:c r="F44" s="13" t="n">
        <x:v>60.1</x:v>
      </x:c>
      <x:c r="G44" t="str">
        <x:f>IF(F44&lt;50,"NL",IF(F44&lt;66.7,"PL","L"))</x:f>
        <x:v>PL</x:v>
      </x:c>
      <x:c r="H44" t="str">
        <x:v>LECTURA__2-A__planilla.xlsx</x:v>
      </x:c>
    </x:row>
    <x:row r="45">
      <x:c r="A45" t="str">
        <x:v>Lectura</x:v>
      </x:c>
      <x:c r="B45" t="str">
        <x:v>1° Ciclo</x:v>
      </x:c>
      <x:c r="C45" t="str">
        <x:v>2° Básico</x:v>
      </x:c>
      <x:c r="D45" t="str">
        <x:v>2°A</x:v>
      </x:c>
      <x:c r="E45" t="str">
        <x:v>Interpretar y relacionar</x:v>
      </x:c>
      <x:c r="F45" s="13" t="n">
        <x:v>57.8</x:v>
      </x:c>
      <x:c r="G45" t="str">
        <x:f>IF(F45&lt;50,"NL",IF(F45&lt;66.7,"PL","L"))</x:f>
        <x:v>PL</x:v>
      </x:c>
      <x:c r="H45" t="str">
        <x:v>LECTURA__2-A__planilla.xlsx</x:v>
      </x:c>
    </x:row>
    <x:row r="46">
      <x:c r="A46" t="str">
        <x:v>Lectura</x:v>
      </x:c>
      <x:c r="B46" t="str">
        <x:v>1° Ciclo</x:v>
      </x:c>
      <x:c r="C46" t="str">
        <x:v>2° Básico</x:v>
      </x:c>
      <x:c r="D46" t="str">
        <x:v>2°A</x:v>
      </x:c>
      <x:c r="E46" t="str">
        <x:v>Reflexionar</x:v>
      </x:c>
      <x:c r="F46" s="13" t="n">
        <x:v>45.9</x:v>
      </x:c>
      <x:c r="G46" t="str">
        <x:f>IF(F46&lt;50,"NL",IF(F46&lt;66.7,"PL","L"))</x:f>
        <x:v>NL</x:v>
      </x:c>
      <x:c r="H46" t="str">
        <x:v>LECTURA__2-A__planilla.xlsx</x:v>
      </x:c>
    </x:row>
    <x:row r="47">
      <x:c r="A47" t="str">
        <x:v>Matemática</x:v>
      </x:c>
      <x:c r="B47" t="str">
        <x:v>1° Ciclo</x:v>
      </x:c>
      <x:c r="C47" t="str">
        <x:v>2° Básico</x:v>
      </x:c>
      <x:c r="D47" t="str">
        <x:v>2°A</x:v>
      </x:c>
      <x:c r="E47" t="str">
        <x:v>Números y operaciones</x:v>
      </x:c>
      <x:c r="F47" s="13" t="n">
        <x:v>55</x:v>
      </x:c>
      <x:c r="G47" t="str">
        <x:f>IF(F47&lt;50,"NL",IF(F47&lt;66.7,"PL","L"))</x:f>
        <x:v>PL</x:v>
      </x:c>
      <x:c r="H47" t="str">
        <x:v>MATEMATICA__2-A__planilla.xlsx</x:v>
      </x:c>
    </x:row>
    <x:row r="48">
      <x:c r="A48" t="str">
        <x:v>Matemática</x:v>
      </x:c>
      <x:c r="B48" t="str">
        <x:v>1° Ciclo</x:v>
      </x:c>
      <x:c r="C48" t="str">
        <x:v>2° Básico</x:v>
      </x:c>
      <x:c r="D48" t="str">
        <x:v>2°A</x:v>
      </x:c>
      <x:c r="E48" t="str">
        <x:v>Patrones y álgebra</x:v>
      </x:c>
      <x:c r="F48" s="13" t="n">
        <x:v>91.9</x:v>
      </x:c>
      <x:c r="G48" t="str">
        <x:f>IF(F48&lt;50,"NL",IF(F48&lt;66.7,"PL","L"))</x:f>
        <x:v>L</x:v>
      </x:c>
      <x:c r="H48" t="str">
        <x:v>MATEMATICA__2-A__planilla.xlsx</x:v>
      </x:c>
    </x:row>
    <x:row r="49">
      <x:c r="A49" t="str">
        <x:v>Matemática</x:v>
      </x:c>
      <x:c r="B49" t="str">
        <x:v>1° Ciclo</x:v>
      </x:c>
      <x:c r="C49" t="str">
        <x:v>2° Básico</x:v>
      </x:c>
      <x:c r="D49" t="str">
        <x:v>2°A</x:v>
      </x:c>
      <x:c r="E49" t="str">
        <x:v>Geometría</x:v>
      </x:c>
      <x:c r="F49" s="13" t="n">
        <x:v>64</x:v>
      </x:c>
      <x:c r="G49" t="str">
        <x:f>IF(F49&lt;50,"NL",IF(F49&lt;66.7,"PL","L"))</x:f>
        <x:v>PL</x:v>
      </x:c>
      <x:c r="H49" t="str">
        <x:v>MATEMATICA__2-A__planilla.xlsx</x:v>
      </x:c>
    </x:row>
    <x:row r="50">
      <x:c r="A50" t="str">
        <x:v>Matemática</x:v>
      </x:c>
      <x:c r="B50" t="str">
        <x:v>1° Ciclo</x:v>
      </x:c>
      <x:c r="C50" t="str">
        <x:v>2° Básico</x:v>
      </x:c>
      <x:c r="D50" t="str">
        <x:v>2°A</x:v>
      </x:c>
      <x:c r="E50" t="str">
        <x:v>Medición</x:v>
      </x:c>
      <x:c r="F50" s="13" t="n">
        <x:v>66.7</x:v>
      </x:c>
      <x:c r="G50" t="str">
        <x:f>IF(F50&lt;50,"NL",IF(F50&lt;66.7,"PL","L"))</x:f>
        <x:v>L</x:v>
      </x:c>
      <x:c r="H50" t="str">
        <x:v>MATEMATICA__2-A__planilla.xlsx</x:v>
      </x:c>
    </x:row>
    <x:row r="51">
      <x:c r="A51" t="str">
        <x:v>Matemática</x:v>
      </x:c>
      <x:c r="B51" t="str">
        <x:v>1° Ciclo</x:v>
      </x:c>
      <x:c r="C51" t="str">
        <x:v>2° Básico</x:v>
      </x:c>
      <x:c r="D51" t="str">
        <x:v>2°A</x:v>
      </x:c>
      <x:c r="E51" t="str">
        <x:v>Datos y probabilidades</x:v>
      </x:c>
      <x:c r="F51" s="13" t="n">
        <x:v>55</x:v>
      </x:c>
      <x:c r="G51" t="str">
        <x:f>IF(F51&lt;50,"NL",IF(F51&lt;66.7,"PL","L"))</x:f>
        <x:v>PL</x:v>
      </x:c>
      <x:c r="H51" t="str">
        <x:v>MATEMATICA__2-A__planilla.xlsx</x:v>
      </x:c>
    </x:row>
    <x:row r="52">
      <x:c r="A52" t="str">
        <x:v>Lectura</x:v>
      </x:c>
      <x:c r="B52" t="str">
        <x:v>1° Ciclo</x:v>
      </x:c>
      <x:c r="C52" t="str">
        <x:v>2° Básico</x:v>
      </x:c>
      <x:c r="D52" t="str">
        <x:v>2°B</x:v>
      </x:c>
      <x:c r="E52" t="str">
        <x:v>Localizar</x:v>
      </x:c>
      <x:c r="F52" s="13" t="n">
        <x:v>67.6</x:v>
      </x:c>
      <x:c r="G52" t="str">
        <x:f>IF(F52&lt;50,"NL",IF(F52&lt;66.7,"PL","L"))</x:f>
        <x:v>L</x:v>
      </x:c>
      <x:c r="H52" t="str">
        <x:v>LECTURA__2-B__planilla.xlsx</x:v>
      </x:c>
    </x:row>
    <x:row r="53">
      <x:c r="A53" t="str">
        <x:v>Lectura</x:v>
      </x:c>
      <x:c r="B53" t="str">
        <x:v>1° Ciclo</x:v>
      </x:c>
      <x:c r="C53" t="str">
        <x:v>2° Básico</x:v>
      </x:c>
      <x:c r="D53" t="str">
        <x:v>2°B</x:v>
      </x:c>
      <x:c r="E53" t="str">
        <x:v>Interpretar y relacionar</x:v>
      </x:c>
      <x:c r="F53" s="13" t="n">
        <x:v>56.5</x:v>
      </x:c>
      <x:c r="G53" t="str">
        <x:f>IF(F53&lt;50,"NL",IF(F53&lt;66.7,"PL","L"))</x:f>
        <x:v>PL</x:v>
      </x:c>
      <x:c r="H53" t="str">
        <x:v>LECTURA__2-B__planilla.xlsx</x:v>
      </x:c>
    </x:row>
    <x:row r="54">
      <x:c r="A54" t="str">
        <x:v>Lectura</x:v>
      </x:c>
      <x:c r="B54" t="str">
        <x:v>1° Ciclo</x:v>
      </x:c>
      <x:c r="C54" t="str">
        <x:v>2° Básico</x:v>
      </x:c>
      <x:c r="D54" t="str">
        <x:v>2°B</x:v>
      </x:c>
      <x:c r="E54" t="str">
        <x:v>Reflexionar</x:v>
      </x:c>
      <x:c r="F54" s="13" t="n">
        <x:v>77</x:v>
      </x:c>
      <x:c r="G54" t="str">
        <x:f>IF(F54&lt;50,"NL",IF(F54&lt;66.7,"PL","L"))</x:f>
        <x:v>L</x:v>
      </x:c>
      <x:c r="H54" t="str">
        <x:v>LECTURA__2-B__planilla.xlsx</x:v>
      </x:c>
    </x:row>
    <x:row r="55">
      <x:c r="A55" t="str">
        <x:v>Matemática</x:v>
      </x:c>
      <x:c r="B55" t="str">
        <x:v>1° Ciclo</x:v>
      </x:c>
      <x:c r="C55" t="str">
        <x:v>2° Básico</x:v>
      </x:c>
      <x:c r="D55" t="str">
        <x:v>2°B</x:v>
      </x:c>
      <x:c r="E55" t="str">
        <x:v>Números y operaciones</x:v>
      </x:c>
      <x:c r="F55" s="13" t="n">
        <x:v>58.6</x:v>
      </x:c>
      <x:c r="G55" t="str">
        <x:f>IF(F55&lt;50,"NL",IF(F55&lt;66.7,"PL","L"))</x:f>
        <x:v>PL</x:v>
      </x:c>
      <x:c r="H55" t="str">
        <x:v>MATEMATICA__2-B__planilla.xlsx</x:v>
      </x:c>
    </x:row>
    <x:row r="56">
      <x:c r="A56" t="str">
        <x:v>Matemática</x:v>
      </x:c>
      <x:c r="B56" t="str">
        <x:v>1° Ciclo</x:v>
      </x:c>
      <x:c r="C56" t="str">
        <x:v>2° Básico</x:v>
      </x:c>
      <x:c r="D56" t="str">
        <x:v>2°B</x:v>
      </x:c>
      <x:c r="E56" t="str">
        <x:v>Patrones y álgebra</x:v>
      </x:c>
      <x:c r="F56" s="13" t="n">
        <x:v>85</x:v>
      </x:c>
      <x:c r="G56" t="str">
        <x:f>IF(F56&lt;50,"NL",IF(F56&lt;66.7,"PL","L"))</x:f>
        <x:v>L</x:v>
      </x:c>
      <x:c r="H56" t="str">
        <x:v>MATEMATICA__2-B__planilla.xlsx</x:v>
      </x:c>
    </x:row>
    <x:row r="57">
      <x:c r="A57" t="str">
        <x:v>Matemática</x:v>
      </x:c>
      <x:c r="B57" t="str">
        <x:v>1° Ciclo</x:v>
      </x:c>
      <x:c r="C57" t="str">
        <x:v>2° Básico</x:v>
      </x:c>
      <x:c r="D57" t="str">
        <x:v>2°B</x:v>
      </x:c>
      <x:c r="E57" t="str">
        <x:v>Geometría</x:v>
      </x:c>
      <x:c r="F57" s="13" t="n">
        <x:v>76.7</x:v>
      </x:c>
      <x:c r="G57" t="str">
        <x:f>IF(F57&lt;50,"NL",IF(F57&lt;66.7,"PL","L"))</x:f>
        <x:v>L</x:v>
      </x:c>
      <x:c r="H57" t="str">
        <x:v>MATEMATICA__2-B__planilla.xlsx</x:v>
      </x:c>
    </x:row>
    <x:row r="58">
      <x:c r="A58" t="str">
        <x:v>Matemática</x:v>
      </x:c>
      <x:c r="B58" t="str">
        <x:v>1° Ciclo</x:v>
      </x:c>
      <x:c r="C58" t="str">
        <x:v>2° Básico</x:v>
      </x:c>
      <x:c r="D58" t="str">
        <x:v>2°B</x:v>
      </x:c>
      <x:c r="E58" t="str">
        <x:v>Medición</x:v>
      </x:c>
      <x:c r="F58" s="13" t="n">
        <x:v>71.7</x:v>
      </x:c>
      <x:c r="G58" t="str">
        <x:f>IF(F58&lt;50,"NL",IF(F58&lt;66.7,"PL","L"))</x:f>
        <x:v>L</x:v>
      </x:c>
      <x:c r="H58" t="str">
        <x:v>MATEMATICA__2-B__planilla.xlsx</x:v>
      </x:c>
    </x:row>
    <x:row r="59">
      <x:c r="A59" t="str">
        <x:v>Matemática</x:v>
      </x:c>
      <x:c r="B59" t="str">
        <x:v>1° Ciclo</x:v>
      </x:c>
      <x:c r="C59" t="str">
        <x:v>2° Básico</x:v>
      </x:c>
      <x:c r="D59" t="str">
        <x:v>2°B</x:v>
      </x:c>
      <x:c r="E59" t="str">
        <x:v>Datos y probabilidades</x:v>
      </x:c>
      <x:c r="F59" s="13" t="n">
        <x:v>48.3</x:v>
      </x:c>
      <x:c r="G59" t="str">
        <x:f>IF(F59&lt;50,"NL",IF(F59&lt;66.7,"PL","L"))</x:f>
        <x:v>NL</x:v>
      </x:c>
      <x:c r="H59" t="str">
        <x:v>MATEMATICA__2-B__planilla.xlsx</x:v>
      </x:c>
    </x:row>
    <x:row r="60">
      <x:c r="A60" t="str">
        <x:v>Lectura</x:v>
      </x:c>
      <x:c r="B60" t="str">
        <x:v>1° Ciclo</x:v>
      </x:c>
      <x:c r="C60" t="str">
        <x:v>2° Básico</x:v>
      </x:c>
      <x:c r="D60" t="str">
        <x:v>2°C</x:v>
      </x:c>
      <x:c r="E60" t="str">
        <x:v>Localizar</x:v>
      </x:c>
      <x:c r="F60" s="13" t="n">
        <x:v>61.5</x:v>
      </x:c>
      <x:c r="G60" t="str">
        <x:f>IF(F60&lt;50,"NL",IF(F60&lt;66.7,"PL","L"))</x:f>
        <x:v>PL</x:v>
      </x:c>
      <x:c r="H60" t="str">
        <x:v>LECTURA__2-C__planilla.xlsx</x:v>
      </x:c>
    </x:row>
    <x:row r="61">
      <x:c r="A61" t="str">
        <x:v>Lectura</x:v>
      </x:c>
      <x:c r="B61" t="str">
        <x:v>1° Ciclo</x:v>
      </x:c>
      <x:c r="C61" t="str">
        <x:v>2° Básico</x:v>
      </x:c>
      <x:c r="D61" t="str">
        <x:v>2°C</x:v>
      </x:c>
      <x:c r="E61" t="str">
        <x:v>Interpretar y relacionar</x:v>
      </x:c>
      <x:c r="F61" s="13" t="n">
        <x:v>58.2</x:v>
      </x:c>
      <x:c r="G61" t="str">
        <x:f>IF(F61&lt;50,"NL",IF(F61&lt;66.7,"PL","L"))</x:f>
        <x:v>PL</x:v>
      </x:c>
      <x:c r="H61" t="str">
        <x:v>LECTURA__2-C__planilla.xlsx</x:v>
      </x:c>
    </x:row>
    <x:row r="62">
      <x:c r="A62" t="str">
        <x:v>Lectura</x:v>
      </x:c>
      <x:c r="B62" t="str">
        <x:v>1° Ciclo</x:v>
      </x:c>
      <x:c r="C62" t="str">
        <x:v>2° Básico</x:v>
      </x:c>
      <x:c r="D62" t="str">
        <x:v>2°C</x:v>
      </x:c>
      <x:c r="E62" t="str">
        <x:v>Reflexionar</x:v>
      </x:c>
      <x:c r="F62" s="13" t="n">
        <x:v>73.7</x:v>
      </x:c>
      <x:c r="G62" t="str">
        <x:f>IF(F62&lt;50,"NL",IF(F62&lt;66.7,"PL","L"))</x:f>
        <x:v>L</x:v>
      </x:c>
      <x:c r="H62" t="str">
        <x:v>LECTURA__2-C__planilla.xlsx</x:v>
      </x:c>
    </x:row>
    <x:row r="63">
      <x:c r="A63" t="str">
        <x:v>Matemática</x:v>
      </x:c>
      <x:c r="B63" t="str">
        <x:v>1° Ciclo</x:v>
      </x:c>
      <x:c r="C63" t="str">
        <x:v>2° Básico</x:v>
      </x:c>
      <x:c r="D63" t="str">
        <x:v>2°C</x:v>
      </x:c>
      <x:c r="E63" t="str">
        <x:v>Números y operaciones</x:v>
      </x:c>
      <x:c r="F63" s="13" t="n">
        <x:v>58.5</x:v>
      </x:c>
      <x:c r="G63" t="str">
        <x:f>IF(F63&lt;50,"NL",IF(F63&lt;66.7,"PL","L"))</x:f>
        <x:v>PL</x:v>
      </x:c>
      <x:c r="H63" t="str">
        <x:v>MATEMATICA__2-C__planilla.xlsx</x:v>
      </x:c>
    </x:row>
    <x:row r="64">
      <x:c r="A64" t="str">
        <x:v>Matemática</x:v>
      </x:c>
      <x:c r="B64" t="str">
        <x:v>1° Ciclo</x:v>
      </x:c>
      <x:c r="C64" t="str">
        <x:v>2° Básico</x:v>
      </x:c>
      <x:c r="D64" t="str">
        <x:v>2°C</x:v>
      </x:c>
      <x:c r="E64" t="str">
        <x:v>Patrones y álgebra</x:v>
      </x:c>
      <x:c r="F64" s="13" t="n">
        <x:v>91</x:v>
      </x:c>
      <x:c r="G64" t="str">
        <x:f>IF(F64&lt;50,"NL",IF(F64&lt;66.7,"PL","L"))</x:f>
        <x:v>L</x:v>
      </x:c>
      <x:c r="H64" t="str">
        <x:v>MATEMATICA__2-C__planilla.xlsx</x:v>
      </x:c>
    </x:row>
    <x:row r="65">
      <x:c r="A65" t="str">
        <x:v>Matemática</x:v>
      </x:c>
      <x:c r="B65" t="str">
        <x:v>1° Ciclo</x:v>
      </x:c>
      <x:c r="C65" t="str">
        <x:v>2° Básico</x:v>
      </x:c>
      <x:c r="D65" t="str">
        <x:v>2°C</x:v>
      </x:c>
      <x:c r="E65" t="str">
        <x:v>Geometría</x:v>
      </x:c>
      <x:c r="F65" s="13" t="n">
        <x:v>67.5</x:v>
      </x:c>
      <x:c r="G65" t="str">
        <x:f>IF(F65&lt;50,"NL",IF(F65&lt;66.7,"PL","L"))</x:f>
        <x:v>L</x:v>
      </x:c>
      <x:c r="H65" t="str">
        <x:v>MATEMATICA__2-C__planilla.xlsx</x:v>
      </x:c>
    </x:row>
    <x:row r="66">
      <x:c r="A66" t="str">
        <x:v>Matemática</x:v>
      </x:c>
      <x:c r="B66" t="str">
        <x:v>1° Ciclo</x:v>
      </x:c>
      <x:c r="C66" t="str">
        <x:v>2° Básico</x:v>
      </x:c>
      <x:c r="D66" t="str">
        <x:v>2°C</x:v>
      </x:c>
      <x:c r="E66" t="str">
        <x:v>Medición</x:v>
      </x:c>
      <x:c r="F66" s="13" t="n">
        <x:v>56.4</x:v>
      </x:c>
      <x:c r="G66" t="str">
        <x:f>IF(F66&lt;50,"NL",IF(F66&lt;66.7,"PL","L"))</x:f>
        <x:v>PL</x:v>
      </x:c>
      <x:c r="H66" t="str">
        <x:v>MATEMATICA__2-C__planilla.xlsx</x:v>
      </x:c>
    </x:row>
    <x:row r="67">
      <x:c r="A67" t="str">
        <x:v>Matemática</x:v>
      </x:c>
      <x:c r="B67" t="str">
        <x:v>1° Ciclo</x:v>
      </x:c>
      <x:c r="C67" t="str">
        <x:v>2° Básico</x:v>
      </x:c>
      <x:c r="D67" t="str">
        <x:v>2°C</x:v>
      </x:c>
      <x:c r="E67" t="str">
        <x:v>Datos y probabilidades</x:v>
      </x:c>
      <x:c r="F67" s="13" t="n">
        <x:v>55.6</x:v>
      </x:c>
      <x:c r="G67" t="str">
        <x:f>IF(F67&lt;50,"NL",IF(F67&lt;66.7,"PL","L"))</x:f>
        <x:v>PL</x:v>
      </x:c>
      <x:c r="H67" t="str">
        <x:v>MATEMATICA__2-C__planilla.xlsx</x:v>
      </x:c>
    </x:row>
    <x:row r="68">
      <x:c r="A68" t="str">
        <x:v>Lectura</x:v>
      </x:c>
      <x:c r="B68" t="str">
        <x:v>1° Ciclo</x:v>
      </x:c>
      <x:c r="C68" t="str">
        <x:v>3° Básico</x:v>
      </x:c>
      <x:c r="D68" t="str">
        <x:v>3°A</x:v>
      </x:c>
      <x:c r="E68" t="str">
        <x:v>Localizar</x:v>
      </x:c>
      <x:c r="F68" s="13" t="n">
        <x:v>70.5</x:v>
      </x:c>
      <x:c r="G68" t="str">
        <x:f>IF(F68&lt;50,"NL",IF(F68&lt;66.7,"PL","L"))</x:f>
        <x:v>L</x:v>
      </x:c>
      <x:c r="H68" t="str">
        <x:v>LECTURA__3-A__planilla.xlsx</x:v>
      </x:c>
    </x:row>
    <x:row r="69">
      <x:c r="A69" t="str">
        <x:v>Lectura</x:v>
      </x:c>
      <x:c r="B69" t="str">
        <x:v>1° Ciclo</x:v>
      </x:c>
      <x:c r="C69" t="str">
        <x:v>3° Básico</x:v>
      </x:c>
      <x:c r="D69" t="str">
        <x:v>3°A</x:v>
      </x:c>
      <x:c r="E69" t="str">
        <x:v>Interpretar y relacionar</x:v>
      </x:c>
      <x:c r="F69" s="13" t="n">
        <x:v>64.8</x:v>
      </x:c>
      <x:c r="G69" t="str">
        <x:f>IF(F69&lt;50,"NL",IF(F69&lt;66.7,"PL","L"))</x:f>
        <x:v>PL</x:v>
      </x:c>
      <x:c r="H69" t="str">
        <x:v>LECTURA__3-A__planilla.xlsx</x:v>
      </x:c>
    </x:row>
    <x:row r="70">
      <x:c r="A70" t="str">
        <x:v>Lectura</x:v>
      </x:c>
      <x:c r="B70" t="str">
        <x:v>1° Ciclo</x:v>
      </x:c>
      <x:c r="C70" t="str">
        <x:v>3° Básico</x:v>
      </x:c>
      <x:c r="D70" t="str">
        <x:v>3°A</x:v>
      </x:c>
      <x:c r="E70" t="str">
        <x:v>Reflexionar</x:v>
      </x:c>
      <x:c r="F70" s="13" t="n">
        <x:v>38.4</x:v>
      </x:c>
      <x:c r="G70" t="str">
        <x:f>IF(F70&lt;50,"NL",IF(F70&lt;66.7,"PL","L"))</x:f>
        <x:v>NL</x:v>
      </x:c>
      <x:c r="H70" t="str">
        <x:v>LECTURA__3-A__planilla.xlsx</x:v>
      </x:c>
    </x:row>
    <x:row r="71">
      <x:c r="A71" t="str">
        <x:v>Matemática</x:v>
      </x:c>
      <x:c r="B71" t="str">
        <x:v>1° Ciclo</x:v>
      </x:c>
      <x:c r="C71" t="str">
        <x:v>3° Básico</x:v>
      </x:c>
      <x:c r="D71" t="str">
        <x:v>3°A</x:v>
      </x:c>
      <x:c r="E71" t="str">
        <x:v>Números y operaciones</x:v>
      </x:c>
      <x:c r="F71" s="13" t="n">
        <x:v>42.1</x:v>
      </x:c>
      <x:c r="G71" t="str">
        <x:f>IF(F71&lt;50,"NL",IF(F71&lt;66.7,"PL","L"))</x:f>
        <x:v>NL</x:v>
      </x:c>
      <x:c r="H71" t="str">
        <x:v>MATEMATICA__3-A__planilla.xlsx</x:v>
      </x:c>
    </x:row>
    <x:row r="72">
      <x:c r="A72" t="str">
        <x:v>Matemática</x:v>
      </x:c>
      <x:c r="B72" t="str">
        <x:v>1° Ciclo</x:v>
      </x:c>
      <x:c r="C72" t="str">
        <x:v>3° Básico</x:v>
      </x:c>
      <x:c r="D72" t="str">
        <x:v>3°A</x:v>
      </x:c>
      <x:c r="E72" t="str">
        <x:v>Patrones y álgebra</x:v>
      </x:c>
      <x:c r="F72" s="13" t="n">
        <x:v>53.5</x:v>
      </x:c>
      <x:c r="G72" t="str">
        <x:f>IF(F72&lt;50,"NL",IF(F72&lt;66.7,"PL","L"))</x:f>
        <x:v>PL</x:v>
      </x:c>
      <x:c r="H72" t="str">
        <x:v>MATEMATICA__3-A__planilla.xlsx</x:v>
      </x:c>
    </x:row>
    <x:row r="73">
      <x:c r="A73" t="str">
        <x:v>Matemática</x:v>
      </x:c>
      <x:c r="B73" t="str">
        <x:v>1° Ciclo</x:v>
      </x:c>
      <x:c r="C73" t="str">
        <x:v>3° Básico</x:v>
      </x:c>
      <x:c r="D73" t="str">
        <x:v>3°A</x:v>
      </x:c>
      <x:c r="E73" t="str">
        <x:v>Geometría</x:v>
      </x:c>
      <x:c r="F73" s="13" t="n">
        <x:v>55</x:v>
      </x:c>
      <x:c r="G73" t="str">
        <x:f>IF(F73&lt;50,"NL",IF(F73&lt;66.7,"PL","L"))</x:f>
        <x:v>PL</x:v>
      </x:c>
      <x:c r="H73" t="str">
        <x:v>MATEMATICA__3-A__planilla.xlsx</x:v>
      </x:c>
    </x:row>
    <x:row r="74">
      <x:c r="A74" t="str">
        <x:v>Matemática</x:v>
      </x:c>
      <x:c r="B74" t="str">
        <x:v>1° Ciclo</x:v>
      </x:c>
      <x:c r="C74" t="str">
        <x:v>3° Básico</x:v>
      </x:c>
      <x:c r="D74" t="str">
        <x:v>3°A</x:v>
      </x:c>
      <x:c r="E74" t="str">
        <x:v>Medición</x:v>
      </x:c>
      <x:c r="F74" s="13" t="n">
        <x:v>37.7</x:v>
      </x:c>
      <x:c r="G74" t="str">
        <x:f>IF(F74&lt;50,"NL",IF(F74&lt;66.7,"PL","L"))</x:f>
        <x:v>NL</x:v>
      </x:c>
      <x:c r="H74" t="str">
        <x:v>MATEMATICA__3-A__planilla.xlsx</x:v>
      </x:c>
    </x:row>
    <x:row r="75">
      <x:c r="A75" t="str">
        <x:v>Matemática</x:v>
      </x:c>
      <x:c r="B75" t="str">
        <x:v>1° Ciclo</x:v>
      </x:c>
      <x:c r="C75" t="str">
        <x:v>3° Básico</x:v>
      </x:c>
      <x:c r="D75" t="str">
        <x:v>3°A</x:v>
      </x:c>
      <x:c r="E75" t="str">
        <x:v>Datos y probabilidades</x:v>
      </x:c>
      <x:c r="F75" s="13" t="n">
        <x:v>48.1</x:v>
      </x:c>
      <x:c r="G75" t="str">
        <x:f>IF(F75&lt;50,"NL",IF(F75&lt;66.7,"PL","L"))</x:f>
        <x:v>NL</x:v>
      </x:c>
      <x:c r="H75" t="str">
        <x:v>MATEMATICA__3-A__planilla.xlsx</x:v>
      </x:c>
    </x:row>
    <x:row r="76">
      <x:c r="A76" t="str">
        <x:v>Lectura</x:v>
      </x:c>
      <x:c r="B76" t="str">
        <x:v>1° Ciclo</x:v>
      </x:c>
      <x:c r="C76" t="str">
        <x:v>3° Básico</x:v>
      </x:c>
      <x:c r="D76" t="str">
        <x:v>3°B</x:v>
      </x:c>
      <x:c r="E76" t="str">
        <x:v>Localizar</x:v>
      </x:c>
      <x:c r="F76" s="13" t="n">
        <x:v>59.8</x:v>
      </x:c>
      <x:c r="G76" t="str">
        <x:f>IF(F76&lt;50,"NL",IF(F76&lt;66.7,"PL","L"))</x:f>
        <x:v>PL</x:v>
      </x:c>
      <x:c r="H76" t="str">
        <x:v>LECTURA__3-B__planilla.xlsx</x:v>
      </x:c>
    </x:row>
    <x:row r="77">
      <x:c r="A77" t="str">
        <x:v>Lectura</x:v>
      </x:c>
      <x:c r="B77" t="str">
        <x:v>1° Ciclo</x:v>
      </x:c>
      <x:c r="C77" t="str">
        <x:v>3° Básico</x:v>
      </x:c>
      <x:c r="D77" t="str">
        <x:v>3°B</x:v>
      </x:c>
      <x:c r="E77" t="str">
        <x:v>Interpretar y relacionar</x:v>
      </x:c>
      <x:c r="F77" s="13" t="n">
        <x:v>63.1</x:v>
      </x:c>
      <x:c r="G77" t="str">
        <x:f>IF(F77&lt;50,"NL",IF(F77&lt;66.7,"PL","L"))</x:f>
        <x:v>PL</x:v>
      </x:c>
      <x:c r="H77" t="str">
        <x:v>LECTURA__3-B__planilla.xlsx</x:v>
      </x:c>
    </x:row>
    <x:row r="78">
      <x:c r="A78" t="str">
        <x:v>Lectura</x:v>
      </x:c>
      <x:c r="B78" t="str">
        <x:v>1° Ciclo</x:v>
      </x:c>
      <x:c r="C78" t="str">
        <x:v>3° Básico</x:v>
      </x:c>
      <x:c r="D78" t="str">
        <x:v>3°B</x:v>
      </x:c>
      <x:c r="E78" t="str">
        <x:v>Reflexionar</x:v>
      </x:c>
      <x:c r="F78" s="13" t="n">
        <x:v>42.6</x:v>
      </x:c>
      <x:c r="G78" t="str">
        <x:f>IF(F78&lt;50,"NL",IF(F78&lt;66.7,"PL","L"))</x:f>
        <x:v>NL</x:v>
      </x:c>
      <x:c r="H78" t="str">
        <x:v>LECTURA__3-B__planilla.xlsx</x:v>
      </x:c>
    </x:row>
    <x:row r="79">
      <x:c r="A79" t="str">
        <x:v>Matemática</x:v>
      </x:c>
      <x:c r="B79" t="str">
        <x:v>1° Ciclo</x:v>
      </x:c>
      <x:c r="C79" t="str">
        <x:v>3° Básico</x:v>
      </x:c>
      <x:c r="D79" t="str">
        <x:v>3°B</x:v>
      </x:c>
      <x:c r="E79" t="str">
        <x:v>Números y operaciones</x:v>
      </x:c>
      <x:c r="F79" s="13" t="n">
        <x:v>47.8</x:v>
      </x:c>
      <x:c r="G79" t="str">
        <x:f>IF(F79&lt;50,"NL",IF(F79&lt;66.7,"PL","L"))</x:f>
        <x:v>NL</x:v>
      </x:c>
      <x:c r="H79" t="str">
        <x:v>MATEMATICA__3-B__planilla.xlsx</x:v>
      </x:c>
    </x:row>
    <x:row r="80">
      <x:c r="A80" t="str">
        <x:v>Matemática</x:v>
      </x:c>
      <x:c r="B80" t="str">
        <x:v>1° Ciclo</x:v>
      </x:c>
      <x:c r="C80" t="str">
        <x:v>3° Básico</x:v>
      </x:c>
      <x:c r="D80" t="str">
        <x:v>3°B</x:v>
      </x:c>
      <x:c r="E80" t="str">
        <x:v>Patrones y álgebra</x:v>
      </x:c>
      <x:c r="F80" s="13" t="n">
        <x:v>50.8</x:v>
      </x:c>
      <x:c r="G80" t="str">
        <x:f>IF(F80&lt;50,"NL",IF(F80&lt;66.7,"PL","L"))</x:f>
        <x:v>PL</x:v>
      </x:c>
      <x:c r="H80" t="str">
        <x:v>MATEMATICA__3-B__planilla.xlsx</x:v>
      </x:c>
    </x:row>
    <x:row r="81">
      <x:c r="A81" t="str">
        <x:v>Matemática</x:v>
      </x:c>
      <x:c r="B81" t="str">
        <x:v>1° Ciclo</x:v>
      </x:c>
      <x:c r="C81" t="str">
        <x:v>3° Básico</x:v>
      </x:c>
      <x:c r="D81" t="str">
        <x:v>3°B</x:v>
      </x:c>
      <x:c r="E81" t="str">
        <x:v>Geometría</x:v>
      </x:c>
      <x:c r="F81" s="13" t="n">
        <x:v>51.1</x:v>
      </x:c>
      <x:c r="G81" t="str">
        <x:f>IF(F81&lt;50,"NL",IF(F81&lt;66.7,"PL","L"))</x:f>
        <x:v>PL</x:v>
      </x:c>
      <x:c r="H81" t="str">
        <x:v>MATEMATICA__3-B__planilla.xlsx</x:v>
      </x:c>
    </x:row>
    <x:row r="82">
      <x:c r="A82" t="str">
        <x:v>Matemática</x:v>
      </x:c>
      <x:c r="B82" t="str">
        <x:v>1° Ciclo</x:v>
      </x:c>
      <x:c r="C82" t="str">
        <x:v>3° Básico</x:v>
      </x:c>
      <x:c r="D82" t="str">
        <x:v>3°B</x:v>
      </x:c>
      <x:c r="E82" t="str">
        <x:v>Medición</x:v>
      </x:c>
      <x:c r="F82" s="13" t="n">
        <x:v>47.3</x:v>
      </x:c>
      <x:c r="G82" t="str">
        <x:f>IF(F82&lt;50,"NL",IF(F82&lt;66.7,"PL","L"))</x:f>
        <x:v>NL</x:v>
      </x:c>
      <x:c r="H82" t="str">
        <x:v>MATEMATICA__3-B__planilla.xlsx</x:v>
      </x:c>
    </x:row>
    <x:row r="83">
      <x:c r="A83" t="str">
        <x:v>Matemática</x:v>
      </x:c>
      <x:c r="B83" t="str">
        <x:v>1° Ciclo</x:v>
      </x:c>
      <x:c r="C83" t="str">
        <x:v>3° Básico</x:v>
      </x:c>
      <x:c r="D83" t="str">
        <x:v>3°B</x:v>
      </x:c>
      <x:c r="E83" t="str">
        <x:v>Datos y probabilidades</x:v>
      </x:c>
      <x:c r="F83" s="13" t="n">
        <x:v>48.5</x:v>
      </x:c>
      <x:c r="G83" t="str">
        <x:f>IF(F83&lt;50,"NL",IF(F83&lt;66.7,"PL","L"))</x:f>
        <x:v>NL</x:v>
      </x:c>
      <x:c r="H83" t="str">
        <x:v>MATEMATICA__3-B__planilla.xlsx</x:v>
      </x:c>
    </x:row>
    <x:row r="84">
      <x:c r="A84" t="str">
        <x:v>Lectura</x:v>
      </x:c>
      <x:c r="B84" t="str">
        <x:v>1° Ciclo</x:v>
      </x:c>
      <x:c r="C84" t="str">
        <x:v>3° Básico</x:v>
      </x:c>
      <x:c r="D84" t="str">
        <x:v>3°C</x:v>
      </x:c>
      <x:c r="E84" t="str">
        <x:v>Localizar</x:v>
      </x:c>
      <x:c r="F84" s="13" t="n">
        <x:v>65.3</x:v>
      </x:c>
      <x:c r="G84" t="str">
        <x:f>IF(F84&lt;50,"NL",IF(F84&lt;66.7,"PL","L"))</x:f>
        <x:v>PL</x:v>
      </x:c>
      <x:c r="H84" t="str">
        <x:v>LECTURA__3-C__planilla.xlsx</x:v>
      </x:c>
    </x:row>
    <x:row r="85">
      <x:c r="A85" t="str">
        <x:v>Lectura</x:v>
      </x:c>
      <x:c r="B85" t="str">
        <x:v>1° Ciclo</x:v>
      </x:c>
      <x:c r="C85" t="str">
        <x:v>3° Básico</x:v>
      </x:c>
      <x:c r="D85" t="str">
        <x:v>3°C</x:v>
      </x:c>
      <x:c r="E85" t="str">
        <x:v>Interpretar y relacionar</x:v>
      </x:c>
      <x:c r="F85" s="13" t="n">
        <x:v>62.9</x:v>
      </x:c>
      <x:c r="G85" t="str">
        <x:f>IF(F85&lt;50,"NL",IF(F85&lt;66.7,"PL","L"))</x:f>
        <x:v>PL</x:v>
      </x:c>
      <x:c r="H85" t="str">
        <x:v>LECTURA__3-C__planilla.xlsx</x:v>
      </x:c>
    </x:row>
    <x:row r="86">
      <x:c r="A86" t="str">
        <x:v>Lectura</x:v>
      </x:c>
      <x:c r="B86" t="str">
        <x:v>1° Ciclo</x:v>
      </x:c>
      <x:c r="C86" t="str">
        <x:v>3° Básico</x:v>
      </x:c>
      <x:c r="D86" t="str">
        <x:v>3°C</x:v>
      </x:c>
      <x:c r="E86" t="str">
        <x:v>Reflexionar</x:v>
      </x:c>
      <x:c r="F86" s="13" t="n">
        <x:v>35.8</x:v>
      </x:c>
      <x:c r="G86" t="str">
        <x:f>IF(F86&lt;50,"NL",IF(F86&lt;66.7,"PL","L"))</x:f>
        <x:v>NL</x:v>
      </x:c>
      <x:c r="H86" t="str">
        <x:v>LECTURA__3-C__planilla.xlsx</x:v>
      </x:c>
    </x:row>
    <x:row r="87">
      <x:c r="A87" t="str">
        <x:v>Matemática</x:v>
      </x:c>
      <x:c r="B87" t="str">
        <x:v>1° Ciclo</x:v>
      </x:c>
      <x:c r="C87" t="str">
        <x:v>3° Básico</x:v>
      </x:c>
      <x:c r="D87" t="str">
        <x:v>3°C</x:v>
      </x:c>
      <x:c r="E87" t="str">
        <x:v>Números y operaciones</x:v>
      </x:c>
      <x:c r="F87" s="13" t="n">
        <x:v>43.9</x:v>
      </x:c>
      <x:c r="G87" t="str">
        <x:f>IF(F87&lt;50,"NL",IF(F87&lt;66.7,"PL","L"))</x:f>
        <x:v>NL</x:v>
      </x:c>
      <x:c r="H87" t="str">
        <x:v>MATEMATICA__3-C__planilla.xlsx</x:v>
      </x:c>
    </x:row>
    <x:row r="88">
      <x:c r="A88" t="str">
        <x:v>Matemática</x:v>
      </x:c>
      <x:c r="B88" t="str">
        <x:v>1° Ciclo</x:v>
      </x:c>
      <x:c r="C88" t="str">
        <x:v>3° Básico</x:v>
      </x:c>
      <x:c r="D88" t="str">
        <x:v>3°C</x:v>
      </x:c>
      <x:c r="E88" t="str">
        <x:v>Patrones y álgebra</x:v>
      </x:c>
      <x:c r="F88" s="13" t="n">
        <x:v>55.3</x:v>
      </x:c>
      <x:c r="G88" t="str">
        <x:f>IF(F88&lt;50,"NL",IF(F88&lt;66.7,"PL","L"))</x:f>
        <x:v>PL</x:v>
      </x:c>
      <x:c r="H88" t="str">
        <x:v>MATEMATICA__3-C__planilla.xlsx</x:v>
      </x:c>
    </x:row>
    <x:row r="89">
      <x:c r="A89" t="str">
        <x:v>Matemática</x:v>
      </x:c>
      <x:c r="B89" t="str">
        <x:v>1° Ciclo</x:v>
      </x:c>
      <x:c r="C89" t="str">
        <x:v>3° Básico</x:v>
      </x:c>
      <x:c r="D89" t="str">
        <x:v>3°C</x:v>
      </x:c>
      <x:c r="E89" t="str">
        <x:v>Geometría</x:v>
      </x:c>
      <x:c r="F89" s="13" t="n">
        <x:v>55.3</x:v>
      </x:c>
      <x:c r="G89" t="str">
        <x:f>IF(F89&lt;50,"NL",IF(F89&lt;66.7,"PL","L"))</x:f>
        <x:v>PL</x:v>
      </x:c>
      <x:c r="H89" t="str">
        <x:v>MATEMATICA__3-C__planilla.xlsx</x:v>
      </x:c>
    </x:row>
    <x:row r="90">
      <x:c r="A90" t="str">
        <x:v>Matemática</x:v>
      </x:c>
      <x:c r="B90" t="str">
        <x:v>1° Ciclo</x:v>
      </x:c>
      <x:c r="C90" t="str">
        <x:v>3° Básico</x:v>
      </x:c>
      <x:c r="D90" t="str">
        <x:v>3°C</x:v>
      </x:c>
      <x:c r="E90" t="str">
        <x:v>Medición</x:v>
      </x:c>
      <x:c r="F90" s="13" t="n">
        <x:v>48.9</x:v>
      </x:c>
      <x:c r="G90" t="str">
        <x:f>IF(F90&lt;50,"NL",IF(F90&lt;66.7,"PL","L"))</x:f>
        <x:v>NL</x:v>
      </x:c>
      <x:c r="H90" t="str">
        <x:v>MATEMATICA__3-C__planilla.xlsx</x:v>
      </x:c>
    </x:row>
    <x:row r="91">
      <x:c r="A91" t="str">
        <x:v>Matemática</x:v>
      </x:c>
      <x:c r="B91" t="str">
        <x:v>1° Ciclo</x:v>
      </x:c>
      <x:c r="C91" t="str">
        <x:v>3° Básico</x:v>
      </x:c>
      <x:c r="D91" t="str">
        <x:v>3°C</x:v>
      </x:c>
      <x:c r="E91" t="str">
        <x:v>Datos y probabilidades</x:v>
      </x:c>
      <x:c r="F91" s="13" t="n">
        <x:v>52.6</x:v>
      </x:c>
      <x:c r="G91" t="str">
        <x:f>IF(F91&lt;50,"NL",IF(F91&lt;66.7,"PL","L"))</x:f>
        <x:v>PL</x:v>
      </x:c>
      <x:c r="H91" t="str">
        <x:v>MATEMATICA__3-C__planilla.xlsx</x:v>
      </x:c>
    </x:row>
    <x:row r="92">
      <x:c r="A92" t="str">
        <x:v>Lectura</x:v>
      </x:c>
      <x:c r="B92" t="str">
        <x:v>1° Ciclo</x:v>
      </x:c>
      <x:c r="C92" t="str">
        <x:v>4° Básico</x:v>
      </x:c>
      <x:c r="D92" t="str">
        <x:v>4°A</x:v>
      </x:c>
      <x:c r="E92" t="str">
        <x:v>Localizar</x:v>
      </x:c>
      <x:c r="F92" s="13" t="n">
        <x:v>69.5</x:v>
      </x:c>
      <x:c r="G92" t="str">
        <x:f>IF(F92&lt;50,"NL",IF(F92&lt;66.7,"PL","L"))</x:f>
        <x:v>L</x:v>
      </x:c>
      <x:c r="H92" t="str">
        <x:v>LECTURA__4-A__planilla.xlsx</x:v>
      </x:c>
    </x:row>
    <x:row r="93">
      <x:c r="A93" t="str">
        <x:v>Lectura</x:v>
      </x:c>
      <x:c r="B93" t="str">
        <x:v>1° Ciclo</x:v>
      </x:c>
      <x:c r="C93" t="str">
        <x:v>4° Básico</x:v>
      </x:c>
      <x:c r="D93" t="str">
        <x:v>4°A</x:v>
      </x:c>
      <x:c r="E93" t="str">
        <x:v>Interpretar y relacionar</x:v>
      </x:c>
      <x:c r="F93" s="13" t="n">
        <x:v>56.3</x:v>
      </x:c>
      <x:c r="G93" t="str">
        <x:f>IF(F93&lt;50,"NL",IF(F93&lt;66.7,"PL","L"))</x:f>
        <x:v>PL</x:v>
      </x:c>
      <x:c r="H93" t="str">
        <x:v>LECTURA__4-A__planilla.xlsx</x:v>
      </x:c>
    </x:row>
    <x:row r="94">
      <x:c r="A94" t="str">
        <x:v>Lectura</x:v>
      </x:c>
      <x:c r="B94" t="str">
        <x:v>1° Ciclo</x:v>
      </x:c>
      <x:c r="C94" t="str">
        <x:v>4° Básico</x:v>
      </x:c>
      <x:c r="D94" t="str">
        <x:v>4°A</x:v>
      </x:c>
      <x:c r="E94" t="str">
        <x:v>Reflexionar</x:v>
      </x:c>
      <x:c r="F94" s="13" t="n">
        <x:v>74.4</x:v>
      </x:c>
      <x:c r="G94" t="str">
        <x:f>IF(F94&lt;50,"NL",IF(F94&lt;66.7,"PL","L"))</x:f>
        <x:v>L</x:v>
      </x:c>
      <x:c r="H94" t="str">
        <x:v>LECTURA__4-A__planilla.xlsx</x:v>
      </x:c>
    </x:row>
    <x:row r="95">
      <x:c r="A95" t="str">
        <x:v>Matemática</x:v>
      </x:c>
      <x:c r="B95" t="str">
        <x:v>1° Ciclo</x:v>
      </x:c>
      <x:c r="C95" t="str">
        <x:v>4° Básico</x:v>
      </x:c>
      <x:c r="D95" t="str">
        <x:v>4°A</x:v>
      </x:c>
      <x:c r="E95" t="str">
        <x:v>Números y operaciones</x:v>
      </x:c>
      <x:c r="F95" s="13" t="n">
        <x:v>50.1</x:v>
      </x:c>
      <x:c r="G95" t="str">
        <x:f>IF(F95&lt;50,"NL",IF(F95&lt;66.7,"PL","L"))</x:f>
        <x:v>PL</x:v>
      </x:c>
      <x:c r="H95" t="str">
        <x:v>MATEMATICA__4-A__planilla.xlsx</x:v>
      </x:c>
    </x:row>
    <x:row r="96">
      <x:c r="A96" t="str">
        <x:v>Matemática</x:v>
      </x:c>
      <x:c r="B96" t="str">
        <x:v>1° Ciclo</x:v>
      </x:c>
      <x:c r="C96" t="str">
        <x:v>4° Básico</x:v>
      </x:c>
      <x:c r="D96" t="str">
        <x:v>4°A</x:v>
      </x:c>
      <x:c r="E96" t="str">
        <x:v>Patrones y álgebra</x:v>
      </x:c>
      <x:c r="F96" s="13" t="n">
        <x:v>35.7</x:v>
      </x:c>
      <x:c r="G96" t="str">
        <x:f>IF(F96&lt;50,"NL",IF(F96&lt;66.7,"PL","L"))</x:f>
        <x:v>NL</x:v>
      </x:c>
      <x:c r="H96" t="str">
        <x:v>MATEMATICA__4-A__planilla.xlsx</x:v>
      </x:c>
    </x:row>
    <x:row r="97">
      <x:c r="A97" t="str">
        <x:v>Matemática</x:v>
      </x:c>
      <x:c r="B97" t="str">
        <x:v>1° Ciclo</x:v>
      </x:c>
      <x:c r="C97" t="str">
        <x:v>4° Básico</x:v>
      </x:c>
      <x:c r="D97" t="str">
        <x:v>4°A</x:v>
      </x:c>
      <x:c r="E97" t="str">
        <x:v>Geometría</x:v>
      </x:c>
      <x:c r="F97" s="13" t="n">
        <x:v>51.7</x:v>
      </x:c>
      <x:c r="G97" t="str">
        <x:f>IF(F97&lt;50,"NL",IF(F97&lt;66.7,"PL","L"))</x:f>
        <x:v>PL</x:v>
      </x:c>
      <x:c r="H97" t="str">
        <x:v>MATEMATICA__4-A__planilla.xlsx</x:v>
      </x:c>
    </x:row>
    <x:row r="98">
      <x:c r="A98" t="str">
        <x:v>Matemática</x:v>
      </x:c>
      <x:c r="B98" t="str">
        <x:v>1° Ciclo</x:v>
      </x:c>
      <x:c r="C98" t="str">
        <x:v>4° Básico</x:v>
      </x:c>
      <x:c r="D98" t="str">
        <x:v>4°A</x:v>
      </x:c>
      <x:c r="E98" t="str">
        <x:v>Medición</x:v>
      </x:c>
      <x:c r="F98" s="13" t="n">
        <x:v>50.4</x:v>
      </x:c>
      <x:c r="G98" t="str">
        <x:f>IF(F98&lt;50,"NL",IF(F98&lt;66.7,"PL","L"))</x:f>
        <x:v>PL</x:v>
      </x:c>
      <x:c r="H98" t="str">
        <x:v>MATEMATICA__4-A__planilla.xlsx</x:v>
      </x:c>
    </x:row>
    <x:row r="99">
      <x:c r="A99" t="str">
        <x:v>Matemática</x:v>
      </x:c>
      <x:c r="B99" t="str">
        <x:v>1° Ciclo</x:v>
      </x:c>
      <x:c r="C99" t="str">
        <x:v>4° Básico</x:v>
      </x:c>
      <x:c r="D99" t="str">
        <x:v>4°A</x:v>
      </x:c>
      <x:c r="E99" t="str">
        <x:v>Datos y probabilidades</x:v>
      </x:c>
      <x:c r="F99" s="13" t="n">
        <x:v>54.3</x:v>
      </x:c>
      <x:c r="G99" t="str">
        <x:f>IF(F99&lt;50,"NL",IF(F99&lt;66.7,"PL","L"))</x:f>
        <x:v>PL</x:v>
      </x:c>
      <x:c r="H99" t="str">
        <x:v>MATEMATICA__4-A__planilla.xlsx</x:v>
      </x:c>
    </x:row>
    <x:row r="100">
      <x:c r="A100" t="str">
        <x:v>Lectura</x:v>
      </x:c>
      <x:c r="B100" t="str">
        <x:v>1° Ciclo</x:v>
      </x:c>
      <x:c r="C100" t="str">
        <x:v>4° Básico</x:v>
      </x:c>
      <x:c r="D100" t="str">
        <x:v>4°B</x:v>
      </x:c>
      <x:c r="E100" t="str">
        <x:v>Localizar</x:v>
      </x:c>
      <x:c r="F100" s="13" t="n">
        <x:v>68.6</x:v>
      </x:c>
      <x:c r="G100" t="str">
        <x:f>IF(F100&lt;50,"NL",IF(F100&lt;66.7,"PL","L"))</x:f>
        <x:v>L</x:v>
      </x:c>
      <x:c r="H100" t="str">
        <x:v>LECTURA__4-B__planilla.xlsx</x:v>
      </x:c>
    </x:row>
    <x:row r="101">
      <x:c r="A101" t="str">
        <x:v>Lectura</x:v>
      </x:c>
      <x:c r="B101" t="str">
        <x:v>1° Ciclo</x:v>
      </x:c>
      <x:c r="C101" t="str">
        <x:v>4° Básico</x:v>
      </x:c>
      <x:c r="D101" t="str">
        <x:v>4°B</x:v>
      </x:c>
      <x:c r="E101" t="str">
        <x:v>Interpretar y relacionar</x:v>
      </x:c>
      <x:c r="F101" s="13" t="n">
        <x:v>54.4</x:v>
      </x:c>
      <x:c r="G101" t="str">
        <x:f>IF(F101&lt;50,"NL",IF(F101&lt;66.7,"PL","L"))</x:f>
        <x:v>PL</x:v>
      </x:c>
      <x:c r="H101" t="str">
        <x:v>LECTURA__4-B__planilla.xlsx</x:v>
      </x:c>
    </x:row>
    <x:row r="102">
      <x:c r="A102" t="str">
        <x:v>Lectura</x:v>
      </x:c>
      <x:c r="B102" t="str">
        <x:v>1° Ciclo</x:v>
      </x:c>
      <x:c r="C102" t="str">
        <x:v>4° Básico</x:v>
      </x:c>
      <x:c r="D102" t="str">
        <x:v>4°B</x:v>
      </x:c>
      <x:c r="E102" t="str">
        <x:v>Reflexionar</x:v>
      </x:c>
      <x:c r="F102" s="13" t="n">
        <x:v>43.2</x:v>
      </x:c>
      <x:c r="G102" t="str">
        <x:f>IF(F102&lt;50,"NL",IF(F102&lt;66.7,"PL","L"))</x:f>
        <x:v>NL</x:v>
      </x:c>
      <x:c r="H102" t="str">
        <x:v>LECTURA__4-B__planilla.xlsx</x:v>
      </x:c>
    </x:row>
    <x:row r="103">
      <x:c r="A103" t="str">
        <x:v>Matemática</x:v>
      </x:c>
      <x:c r="B103" t="str">
        <x:v>1° Ciclo</x:v>
      </x:c>
      <x:c r="C103" t="str">
        <x:v>4° Básico</x:v>
      </x:c>
      <x:c r="D103" t="str">
        <x:v>4°B</x:v>
      </x:c>
      <x:c r="E103" t="str">
        <x:v>Números y operaciones</x:v>
      </x:c>
      <x:c r="F103" s="13" t="n">
        <x:v>48.3</x:v>
      </x:c>
      <x:c r="G103" t="str">
        <x:f>IF(F103&lt;50,"NL",IF(F103&lt;66.7,"PL","L"))</x:f>
        <x:v>NL</x:v>
      </x:c>
      <x:c r="H103" t="str">
        <x:v>MATEMATICA__4-B__planilla.xlsx</x:v>
      </x:c>
    </x:row>
    <x:row r="104">
      <x:c r="A104" t="str">
        <x:v>Matemática</x:v>
      </x:c>
      <x:c r="B104" t="str">
        <x:v>1° Ciclo</x:v>
      </x:c>
      <x:c r="C104" t="str">
        <x:v>4° Básico</x:v>
      </x:c>
      <x:c r="D104" t="str">
        <x:v>4°B</x:v>
      </x:c>
      <x:c r="E104" t="str">
        <x:v>Patrones y álgebra</x:v>
      </x:c>
      <x:c r="F104" s="13" t="n">
        <x:v>26.5</x:v>
      </x:c>
      <x:c r="G104" t="str">
        <x:f>IF(F104&lt;50,"NL",IF(F104&lt;66.7,"PL","L"))</x:f>
        <x:v>NL</x:v>
      </x:c>
      <x:c r="H104" t="str">
        <x:v>MATEMATICA__4-B__planilla.xlsx</x:v>
      </x:c>
    </x:row>
    <x:row r="105">
      <x:c r="A105" t="str">
        <x:v>Matemática</x:v>
      </x:c>
      <x:c r="B105" t="str">
        <x:v>1° Ciclo</x:v>
      </x:c>
      <x:c r="C105" t="str">
        <x:v>4° Básico</x:v>
      </x:c>
      <x:c r="D105" t="str">
        <x:v>4°B</x:v>
      </x:c>
      <x:c r="E105" t="str">
        <x:v>Geometría</x:v>
      </x:c>
      <x:c r="F105" s="13" t="n">
        <x:v>51.1</x:v>
      </x:c>
      <x:c r="G105" t="str">
        <x:f>IF(F105&lt;50,"NL",IF(F105&lt;66.7,"PL","L"))</x:f>
        <x:v>PL</x:v>
      </x:c>
      <x:c r="H105" t="str">
        <x:v>MATEMATICA__4-B__planilla.xlsx</x:v>
      </x:c>
    </x:row>
    <x:row r="106">
      <x:c r="A106" t="str">
        <x:v>Matemática</x:v>
      </x:c>
      <x:c r="B106" t="str">
        <x:v>1° Ciclo</x:v>
      </x:c>
      <x:c r="C106" t="str">
        <x:v>4° Básico</x:v>
      </x:c>
      <x:c r="D106" t="str">
        <x:v>4°B</x:v>
      </x:c>
      <x:c r="E106" t="str">
        <x:v>Medición</x:v>
      </x:c>
      <x:c r="F106" s="13" t="n">
        <x:v>39.8</x:v>
      </x:c>
      <x:c r="G106" t="str">
        <x:f>IF(F106&lt;50,"NL",IF(F106&lt;66.7,"PL","L"))</x:f>
        <x:v>NL</x:v>
      </x:c>
      <x:c r="H106" t="str">
        <x:v>MATEMATICA__4-B__planilla.xlsx</x:v>
      </x:c>
    </x:row>
    <x:row r="107">
      <x:c r="A107" t="str">
        <x:v>Matemática</x:v>
      </x:c>
      <x:c r="B107" t="str">
        <x:v>1° Ciclo</x:v>
      </x:c>
      <x:c r="C107" t="str">
        <x:v>4° Básico</x:v>
      </x:c>
      <x:c r="D107" t="str">
        <x:v>4°B</x:v>
      </x:c>
      <x:c r="E107" t="str">
        <x:v>Datos y probabilidades</x:v>
      </x:c>
      <x:c r="F107" s="13" t="n">
        <x:v>47.7</x:v>
      </x:c>
      <x:c r="G107" t="str">
        <x:f>IF(F107&lt;50,"NL",IF(F107&lt;66.7,"PL","L"))</x:f>
        <x:v>NL</x:v>
      </x:c>
      <x:c r="H107" t="str">
        <x:v>MATEMATICA__4-B__planilla.xlsx</x:v>
      </x:c>
    </x:row>
    <x:row r="108">
      <x:c r="A108" t="str">
        <x:v>Lectura</x:v>
      </x:c>
      <x:c r="B108" t="str">
        <x:v>1° Ciclo</x:v>
      </x:c>
      <x:c r="C108" t="str">
        <x:v>4° Básico</x:v>
      </x:c>
      <x:c r="D108" t="str">
        <x:v>4°C</x:v>
      </x:c>
      <x:c r="E108" t="str">
        <x:v>Localizar</x:v>
      </x:c>
      <x:c r="F108" s="13" t="n">
        <x:v>62.9</x:v>
      </x:c>
      <x:c r="G108" t="str">
        <x:f>IF(F108&lt;50,"NL",IF(F108&lt;66.7,"PL","L"))</x:f>
        <x:v>PL</x:v>
      </x:c>
      <x:c r="H108" t="str">
        <x:v>LECTURA__4-C__planilla.xlsx</x:v>
      </x:c>
    </x:row>
    <x:row r="109">
      <x:c r="A109" t="str">
        <x:v>Lectura</x:v>
      </x:c>
      <x:c r="B109" t="str">
        <x:v>1° Ciclo</x:v>
      </x:c>
      <x:c r="C109" t="str">
        <x:v>4° Básico</x:v>
      </x:c>
      <x:c r="D109" t="str">
        <x:v>4°C</x:v>
      </x:c>
      <x:c r="E109" t="str">
        <x:v>Interpretar y relacionar</x:v>
      </x:c>
      <x:c r="F109" s="13" t="n">
        <x:v>51.8</x:v>
      </x:c>
      <x:c r="G109" t="str">
        <x:f>IF(F109&lt;50,"NL",IF(F109&lt;66.7,"PL","L"))</x:f>
        <x:v>PL</x:v>
      </x:c>
      <x:c r="H109" t="str">
        <x:v>LECTURA__4-C__planilla.xlsx</x:v>
      </x:c>
    </x:row>
    <x:row r="110">
      <x:c r="A110" t="str">
        <x:v>Lectura</x:v>
      </x:c>
      <x:c r="B110" t="str">
        <x:v>1° Ciclo</x:v>
      </x:c>
      <x:c r="C110" t="str">
        <x:v>4° Básico</x:v>
      </x:c>
      <x:c r="D110" t="str">
        <x:v>4°C</x:v>
      </x:c>
      <x:c r="E110" t="str">
        <x:v>Reflexionar</x:v>
      </x:c>
      <x:c r="F110" s="13" t="n">
        <x:v>56.1</x:v>
      </x:c>
      <x:c r="G110" t="str">
        <x:f>IF(F110&lt;50,"NL",IF(F110&lt;66.7,"PL","L"))</x:f>
        <x:v>PL</x:v>
      </x:c>
      <x:c r="H110" t="str">
        <x:v>LECTURA__4-C__planilla.xlsx</x:v>
      </x:c>
    </x:row>
    <x:row r="111">
      <x:c r="A111" t="str">
        <x:v>Matemática</x:v>
      </x:c>
      <x:c r="B111" t="str">
        <x:v>1° Ciclo</x:v>
      </x:c>
      <x:c r="C111" t="str">
        <x:v>4° Básico</x:v>
      </x:c>
      <x:c r="D111" t="str">
        <x:v>4°C</x:v>
      </x:c>
      <x:c r="E111" t="str">
        <x:v>Números y operaciones</x:v>
      </x:c>
      <x:c r="F111" s="13" t="n">
        <x:v>49.7</x:v>
      </x:c>
      <x:c r="G111" t="str">
        <x:f>IF(F111&lt;50,"NL",IF(F111&lt;66.7,"PL","L"))</x:f>
        <x:v>NL</x:v>
      </x:c>
      <x:c r="H111" t="str">
        <x:v>MATEMATICA__4-C__planilla.xlsx</x:v>
      </x:c>
    </x:row>
    <x:row r="112">
      <x:c r="A112" t="str">
        <x:v>Matemática</x:v>
      </x:c>
      <x:c r="B112" t="str">
        <x:v>1° Ciclo</x:v>
      </x:c>
      <x:c r="C112" t="str">
        <x:v>4° Básico</x:v>
      </x:c>
      <x:c r="D112" t="str">
        <x:v>4°C</x:v>
      </x:c>
      <x:c r="E112" t="str">
        <x:v>Patrones y álgebra</x:v>
      </x:c>
      <x:c r="F112" s="13" t="n">
        <x:v>28.5</x:v>
      </x:c>
      <x:c r="G112" t="str">
        <x:f>IF(F112&lt;50,"NL",IF(F112&lt;66.7,"PL","L"))</x:f>
        <x:v>NL</x:v>
      </x:c>
      <x:c r="H112" t="str">
        <x:v>MATEMATICA__4-C__planilla.xlsx</x:v>
      </x:c>
    </x:row>
    <x:row r="113">
      <x:c r="A113" t="str">
        <x:v>Matemática</x:v>
      </x:c>
      <x:c r="B113" t="str">
        <x:v>1° Ciclo</x:v>
      </x:c>
      <x:c r="C113" t="str">
        <x:v>4° Básico</x:v>
      </x:c>
      <x:c r="D113" t="str">
        <x:v>4°C</x:v>
      </x:c>
      <x:c r="E113" t="str">
        <x:v>Geometría</x:v>
      </x:c>
      <x:c r="F113" s="13" t="n">
        <x:v>53</x:v>
      </x:c>
      <x:c r="G113" t="str">
        <x:f>IF(F113&lt;50,"NL",IF(F113&lt;66.7,"PL","L"))</x:f>
        <x:v>PL</x:v>
      </x:c>
      <x:c r="H113" t="str">
        <x:v>MATEMATICA__4-C__planilla.xlsx</x:v>
      </x:c>
    </x:row>
    <x:row r="114">
      <x:c r="A114" t="str">
        <x:v>Matemática</x:v>
      </x:c>
      <x:c r="B114" t="str">
        <x:v>1° Ciclo</x:v>
      </x:c>
      <x:c r="C114" t="str">
        <x:v>4° Básico</x:v>
      </x:c>
      <x:c r="D114" t="str">
        <x:v>4°C</x:v>
      </x:c>
      <x:c r="E114" t="str">
        <x:v>Medición</x:v>
      </x:c>
      <x:c r="F114" s="13" t="n">
        <x:v>37.8</x:v>
      </x:c>
      <x:c r="G114" t="str">
        <x:f>IF(F114&lt;50,"NL",IF(F114&lt;66.7,"PL","L"))</x:f>
        <x:v>NL</x:v>
      </x:c>
      <x:c r="H114" t="str">
        <x:v>MATEMATICA__4-C__planilla.xlsx</x:v>
      </x:c>
    </x:row>
    <x:row r="115">
      <x:c r="A115" t="str">
        <x:v>Matemática</x:v>
      </x:c>
      <x:c r="B115" t="str">
        <x:v>1° Ciclo</x:v>
      </x:c>
      <x:c r="C115" t="str">
        <x:v>4° Básico</x:v>
      </x:c>
      <x:c r="D115" t="str">
        <x:v>4°C</x:v>
      </x:c>
      <x:c r="E115" t="str">
        <x:v>Datos y probabilidades</x:v>
      </x:c>
      <x:c r="F115" s="13" t="n">
        <x:v>39</x:v>
      </x:c>
      <x:c r="G115" t="str">
        <x:f>IF(F115&lt;50,"NL",IF(F115&lt;66.7,"PL","L"))</x:f>
        <x:v>NL</x:v>
      </x:c>
      <x:c r="H115" t="str">
        <x:v>MATEMATICA__4-C__planilla.xlsx</x:v>
      </x:c>
    </x:row>
    <x:row r="116">
      <x:c r="A116" t="str">
        <x:v>Lectura</x:v>
      </x:c>
      <x:c r="B116" t="str">
        <x:v>2° Ciclo</x:v>
      </x:c>
      <x:c r="C116" t="str">
        <x:v>5° Básico</x:v>
      </x:c>
      <x:c r="D116" t="str">
        <x:v>5°A</x:v>
      </x:c>
      <x:c r="E116" t="str">
        <x:v>Localizar</x:v>
      </x:c>
      <x:c r="F116" s="13" t="n">
        <x:v>58.1</x:v>
      </x:c>
      <x:c r="G116" t="str">
        <x:f>IF(F116&lt;50,"NL",IF(F116&lt;66.7,"PL","L"))</x:f>
        <x:v>PL</x:v>
      </x:c>
      <x:c r="H116" t="str">
        <x:v>LECTURA__5-A__planilla.xlsx</x:v>
      </x:c>
    </x:row>
    <x:row r="117">
      <x:c r="A117" t="str">
        <x:v>Lectura</x:v>
      </x:c>
      <x:c r="B117" t="str">
        <x:v>2° Ciclo</x:v>
      </x:c>
      <x:c r="C117" t="str">
        <x:v>5° Básico</x:v>
      </x:c>
      <x:c r="D117" t="str">
        <x:v>5°A</x:v>
      </x:c>
      <x:c r="E117" t="str">
        <x:v>Interpretar y relacionar</x:v>
      </x:c>
      <x:c r="F117" s="13" t="n">
        <x:v>55</x:v>
      </x:c>
      <x:c r="G117" t="str">
        <x:f>IF(F117&lt;50,"NL",IF(F117&lt;66.7,"PL","L"))</x:f>
        <x:v>PL</x:v>
      </x:c>
      <x:c r="H117" t="str">
        <x:v>LECTURA__5-A__planilla.xlsx</x:v>
      </x:c>
    </x:row>
    <x:row r="118">
      <x:c r="A118" t="str">
        <x:v>Lectura</x:v>
      </x:c>
      <x:c r="B118" t="str">
        <x:v>2° Ciclo</x:v>
      </x:c>
      <x:c r="C118" t="str">
        <x:v>5° Básico</x:v>
      </x:c>
      <x:c r="D118" t="str">
        <x:v>5°A</x:v>
      </x:c>
      <x:c r="E118" t="str">
        <x:v>Reflexionar</x:v>
      </x:c>
      <x:c r="F118" s="13" t="n">
        <x:v>41.9</x:v>
      </x:c>
      <x:c r="G118" t="str">
        <x:f>IF(F118&lt;50,"NL",IF(F118&lt;66.7,"PL","L"))</x:f>
        <x:v>NL</x:v>
      </x:c>
      <x:c r="H118" t="str">
        <x:v>LECTURA__5-A__planilla.xlsx</x:v>
      </x:c>
    </x:row>
    <x:row r="119">
      <x:c r="A119" t="str">
        <x:v>Matemática</x:v>
      </x:c>
      <x:c r="B119" t="str">
        <x:v>2° Ciclo</x:v>
      </x:c>
      <x:c r="C119" t="str">
        <x:v>5° Básico</x:v>
      </x:c>
      <x:c r="D119" t="str">
        <x:v>5°A</x:v>
      </x:c>
      <x:c r="E119" t="str">
        <x:v>Números y operaciones</x:v>
      </x:c>
      <x:c r="F119" s="13" t="n">
        <x:v>24.7</x:v>
      </x:c>
      <x:c r="G119" t="str">
        <x:f>IF(F119&lt;50,"NL",IF(F119&lt;66.7,"PL","L"))</x:f>
        <x:v>NL</x:v>
      </x:c>
      <x:c r="H119" t="str">
        <x:v>MATEMATICA__5-A__planilla.xlsx</x:v>
      </x:c>
    </x:row>
    <x:row r="120">
      <x:c r="A120" t="str">
        <x:v>Matemática</x:v>
      </x:c>
      <x:c r="B120" t="str">
        <x:v>2° Ciclo</x:v>
      </x:c>
      <x:c r="C120" t="str">
        <x:v>5° Básico</x:v>
      </x:c>
      <x:c r="D120" t="str">
        <x:v>5°A</x:v>
      </x:c>
      <x:c r="E120" t="str">
        <x:v>Patrones y álgebra</x:v>
      </x:c>
      <x:c r="F120" s="13" t="n">
        <x:v>22.2</x:v>
      </x:c>
      <x:c r="G120" t="str">
        <x:f>IF(F120&lt;50,"NL",IF(F120&lt;66.7,"PL","L"))</x:f>
        <x:v>NL</x:v>
      </x:c>
      <x:c r="H120" t="str">
        <x:v>MATEMATICA__5-A__planilla.xlsx</x:v>
      </x:c>
    </x:row>
    <x:row r="121">
      <x:c r="A121" t="str">
        <x:v>Matemática</x:v>
      </x:c>
      <x:c r="B121" t="str">
        <x:v>2° Ciclo</x:v>
      </x:c>
      <x:c r="C121" t="str">
        <x:v>5° Básico</x:v>
      </x:c>
      <x:c r="D121" t="str">
        <x:v>5°A</x:v>
      </x:c>
      <x:c r="E121" t="str">
        <x:v>Geometría</x:v>
      </x:c>
      <x:c r="F121" s="13" t="n">
        <x:v>61.8</x:v>
      </x:c>
      <x:c r="G121" t="str">
        <x:f>IF(F121&lt;50,"NL",IF(F121&lt;66.7,"PL","L"))</x:f>
        <x:v>PL</x:v>
      </x:c>
      <x:c r="H121" t="str">
        <x:v>MATEMATICA__5-A__planilla.xlsx</x:v>
      </x:c>
    </x:row>
    <x:row r="122">
      <x:c r="A122" t="str">
        <x:v>Matemática</x:v>
      </x:c>
      <x:c r="B122" t="str">
        <x:v>2° Ciclo</x:v>
      </x:c>
      <x:c r="C122" t="str">
        <x:v>5° Básico</x:v>
      </x:c>
      <x:c r="D122" t="str">
        <x:v>5°A</x:v>
      </x:c>
      <x:c r="E122" t="str">
        <x:v>Medición</x:v>
      </x:c>
      <x:c r="F122" s="13" t="n">
        <x:v>36.7</x:v>
      </x:c>
      <x:c r="G122" t="str">
        <x:f>IF(F122&lt;50,"NL",IF(F122&lt;66.7,"PL","L"))</x:f>
        <x:v>NL</x:v>
      </x:c>
      <x:c r="H122" t="str">
        <x:v>MATEMATICA__5-A__planilla.xlsx</x:v>
      </x:c>
    </x:row>
    <x:row r="123">
      <x:c r="A123" t="str">
        <x:v>Matemática</x:v>
      </x:c>
      <x:c r="B123" t="str">
        <x:v>2° Ciclo</x:v>
      </x:c>
      <x:c r="C123" t="str">
        <x:v>5° Básico</x:v>
      </x:c>
      <x:c r="D123" t="str">
        <x:v>5°A</x:v>
      </x:c>
      <x:c r="E123" t="str">
        <x:v>Datos y probabilidades</x:v>
      </x:c>
      <x:c r="F123" s="13" t="n">
        <x:v>28.7</x:v>
      </x:c>
      <x:c r="G123" t="str">
        <x:f>IF(F123&lt;50,"NL",IF(F123&lt;66.7,"PL","L"))</x:f>
        <x:v>NL</x:v>
      </x:c>
      <x:c r="H123" t="str">
        <x:v>MATEMATICA__5-A__planilla.xlsx</x:v>
      </x:c>
    </x:row>
    <x:row r="124">
      <x:c r="A124" t="str">
        <x:v>Ciencias Naturales</x:v>
      </x:c>
      <x:c r="B124" t="str">
        <x:v>2° Ciclo</x:v>
      </x:c>
      <x:c r="C124" t="str">
        <x:v>5° Básico</x:v>
      </x:c>
      <x:c r="D124" t="str">
        <x:v>5°A</x:v>
      </x:c>
      <x:c r="E124" t="str">
        <x:v>Ciencias de la vida</x:v>
      </x:c>
      <x:c r="F124" s="13" t="n">
        <x:v>69.2</x:v>
      </x:c>
      <x:c r="G124" t="str">
        <x:f>IF(F124&lt;50,"NL",IF(F124&lt;66.7,"PL","L"))</x:f>
        <x:v>L</x:v>
      </x:c>
      <x:c r="H124" t="str">
        <x:v>CIENCIAS_NATURALES__5-A__planilla.xlsx</x:v>
      </x:c>
    </x:row>
    <x:row r="125">
      <x:c r="A125" t="str">
        <x:v>Ciencias Naturales</x:v>
      </x:c>
      <x:c r="B125" t="str">
        <x:v>2° Ciclo</x:v>
      </x:c>
      <x:c r="C125" t="str">
        <x:v>5° Básico</x:v>
      </x:c>
      <x:c r="D125" t="str">
        <x:v>5°A</x:v>
      </x:c>
      <x:c r="E125" t="str">
        <x:v>Ciencias Físicas y Químicas</x:v>
      </x:c>
      <x:c r="F125" s="13" t="n">
        <x:v>52.5</x:v>
      </x:c>
      <x:c r="G125" t="str">
        <x:f>IF(F125&lt;50,"NL",IF(F125&lt;66.7,"PL","L"))</x:f>
        <x:v>PL</x:v>
      </x:c>
      <x:c r="H125" t="str">
        <x:v>CIENCIAS_NATURALES__5-A__planilla.xlsx</x:v>
      </x:c>
    </x:row>
    <x:row r="126">
      <x:c r="A126" t="str">
        <x:v>Ciencias Naturales</x:v>
      </x:c>
      <x:c r="B126" t="str">
        <x:v>2° Ciclo</x:v>
      </x:c>
      <x:c r="C126" t="str">
        <x:v>5° Básico</x:v>
      </x:c>
      <x:c r="D126" t="str">
        <x:v>5°A</x:v>
      </x:c>
      <x:c r="E126" t="str">
        <x:v>Ciencias de la Tierra y el Universo</x:v>
      </x:c>
      <x:c r="F126" s="13" t="n">
        <x:v>46.9</x:v>
      </x:c>
      <x:c r="G126" t="str">
        <x:f>IF(F126&lt;50,"NL",IF(F126&lt;66.7,"PL","L"))</x:f>
        <x:v>NL</x:v>
      </x:c>
      <x:c r="H126" t="str">
        <x:v>CIENCIAS_NATURALES__5-A__planilla.xlsx</x:v>
      </x:c>
    </x:row>
    <x:row r="127">
      <x:c r="A127" t="str">
        <x:v>Historia y Cs. Sociales</x:v>
      </x:c>
      <x:c r="B127" t="str">
        <x:v>2° Ciclo</x:v>
      </x:c>
      <x:c r="C127" t="str">
        <x:v>5° Básico</x:v>
      </x:c>
      <x:c r="D127" t="str">
        <x:v>5°A</x:v>
      </x:c>
      <x:c r="E127" t="str">
        <x:v>Historia</x:v>
      </x:c>
      <x:c r="F127" s="13" t="n">
        <x:v>25.8</x:v>
      </x:c>
      <x:c r="G127" t="str">
        <x:f>IF(F127&lt;50,"NL",IF(F127&lt;66.7,"PL","L"))</x:f>
        <x:v>NL</x:v>
      </x:c>
      <x:c r="H127" t="str">
        <x:v>HISTORIA_GEOGRAFIA_y_CIENCIAS_SOCIALES__5-A__planilla.xlsx</x:v>
      </x:c>
    </x:row>
    <x:row r="128">
      <x:c r="A128" t="str">
        <x:v>Historia y Cs. Sociales</x:v>
      </x:c>
      <x:c r="B128" t="str">
        <x:v>2° Ciclo</x:v>
      </x:c>
      <x:c r="C128" t="str">
        <x:v>5° Básico</x:v>
      </x:c>
      <x:c r="D128" t="str">
        <x:v>5°A</x:v>
      </x:c>
      <x:c r="E128" t="str">
        <x:v>Geografía</x:v>
      </x:c>
      <x:c r="F128" s="13" t="n">
        <x:v>39.7</x:v>
      </x:c>
      <x:c r="G128" t="str">
        <x:f>IF(F128&lt;50,"NL",IF(F128&lt;66.7,"PL","L"))</x:f>
        <x:v>NL</x:v>
      </x:c>
      <x:c r="H128" t="str">
        <x:v>HISTORIA_GEOGRAFIA_y_CIENCIAS_SOCIALES__5-A__planilla.xlsx</x:v>
      </x:c>
    </x:row>
    <x:row r="129">
      <x:c r="A129" t="str">
        <x:v>Historia y Cs. Sociales</x:v>
      </x:c>
      <x:c r="B129" t="str">
        <x:v>2° Ciclo</x:v>
      </x:c>
      <x:c r="C129" t="str">
        <x:v>5° Básico</x:v>
      </x:c>
      <x:c r="D129" t="str">
        <x:v>5°A</x:v>
      </x:c>
      <x:c r="E129" t="str">
        <x:v>Formación Ciudadana</x:v>
      </x:c>
      <x:c r="F129" s="13" t="n">
        <x:v>34.2</x:v>
      </x:c>
      <x:c r="G129" t="str">
        <x:f>IF(F129&lt;50,"NL",IF(F129&lt;66.7,"PL","L"))</x:f>
        <x:v>NL</x:v>
      </x:c>
      <x:c r="H129" t="str">
        <x:v>HISTORIA_GEOGRAFIA_y_CIENCIAS_SOCIALES__5-A__planilla.xlsx</x:v>
      </x:c>
    </x:row>
    <x:row r="130">
      <x:c r="A130" t="str">
        <x:v>Lectura</x:v>
      </x:c>
      <x:c r="B130" t="str">
        <x:v>2° Ciclo</x:v>
      </x:c>
      <x:c r="C130" t="str">
        <x:v>5° Básico</x:v>
      </x:c>
      <x:c r="D130" t="str">
        <x:v>5°B</x:v>
      </x:c>
      <x:c r="E130" t="str">
        <x:v>Localizar</x:v>
      </x:c>
      <x:c r="F130" s="13" t="n">
        <x:v>44</x:v>
      </x:c>
      <x:c r="G130" t="str">
        <x:f>IF(F130&lt;50,"NL",IF(F130&lt;66.7,"PL","L"))</x:f>
        <x:v>NL</x:v>
      </x:c>
      <x:c r="H130" t="str">
        <x:v>LECTURA__5-B__planilla.xlsx</x:v>
      </x:c>
    </x:row>
    <x:row r="131">
      <x:c r="A131" t="str">
        <x:v>Lectura</x:v>
      </x:c>
      <x:c r="B131" t="str">
        <x:v>2° Ciclo</x:v>
      </x:c>
      <x:c r="C131" t="str">
        <x:v>5° Básico</x:v>
      </x:c>
      <x:c r="D131" t="str">
        <x:v>5°B</x:v>
      </x:c>
      <x:c r="E131" t="str">
        <x:v>Interpretar y relacionar</x:v>
      </x:c>
      <x:c r="F131" s="13" t="n">
        <x:v>38.1</x:v>
      </x:c>
      <x:c r="G131" t="str">
        <x:f>IF(F131&lt;50,"NL",IF(F131&lt;66.7,"PL","L"))</x:f>
        <x:v>NL</x:v>
      </x:c>
      <x:c r="H131" t="str">
        <x:v>LECTURA__5-B__planilla.xlsx</x:v>
      </x:c>
    </x:row>
    <x:row r="132">
      <x:c r="A132" t="str">
        <x:v>Lectura</x:v>
      </x:c>
      <x:c r="B132" t="str">
        <x:v>2° Ciclo</x:v>
      </x:c>
      <x:c r="C132" t="str">
        <x:v>5° Básico</x:v>
      </x:c>
      <x:c r="D132" t="str">
        <x:v>5°B</x:v>
      </x:c>
      <x:c r="E132" t="str">
        <x:v>Reflexionar</x:v>
      </x:c>
      <x:c r="F132" s="13" t="n">
        <x:v>32.3</x:v>
      </x:c>
      <x:c r="G132" t="str">
        <x:f>IF(F132&lt;50,"NL",IF(F132&lt;66.7,"PL","L"))</x:f>
        <x:v>NL</x:v>
      </x:c>
      <x:c r="H132" t="str">
        <x:v>LECTURA__5-B__planilla.xlsx</x:v>
      </x:c>
    </x:row>
    <x:row r="133">
      <x:c r="A133" t="str">
        <x:v>Matemática</x:v>
      </x:c>
      <x:c r="B133" t="str">
        <x:v>2° Ciclo</x:v>
      </x:c>
      <x:c r="C133" t="str">
        <x:v>5° Básico</x:v>
      </x:c>
      <x:c r="D133" t="str">
        <x:v>5°B</x:v>
      </x:c>
      <x:c r="E133" t="str">
        <x:v>Números y operaciones</x:v>
      </x:c>
      <x:c r="F133" s="13" t="n">
        <x:v>29.7</x:v>
      </x:c>
      <x:c r="G133" t="str">
        <x:f>IF(F133&lt;50,"NL",IF(F133&lt;66.7,"PL","L"))</x:f>
        <x:v>NL</x:v>
      </x:c>
      <x:c r="H133" t="str">
        <x:v>MATEMATICA__5-B__planilla.xlsx</x:v>
      </x:c>
    </x:row>
    <x:row r="134">
      <x:c r="A134" t="str">
        <x:v>Matemática</x:v>
      </x:c>
      <x:c r="B134" t="str">
        <x:v>2° Ciclo</x:v>
      </x:c>
      <x:c r="C134" t="str">
        <x:v>5° Básico</x:v>
      </x:c>
      <x:c r="D134" t="str">
        <x:v>5°B</x:v>
      </x:c>
      <x:c r="E134" t="str">
        <x:v>Patrones y álgebra</x:v>
      </x:c>
      <x:c r="F134" s="13" t="n">
        <x:v>25.7</x:v>
      </x:c>
      <x:c r="G134" t="str">
        <x:f>IF(F134&lt;50,"NL",IF(F134&lt;66.7,"PL","L"))</x:f>
        <x:v>NL</x:v>
      </x:c>
      <x:c r="H134" t="str">
        <x:v>MATEMATICA__5-B__planilla.xlsx</x:v>
      </x:c>
    </x:row>
    <x:row r="135">
      <x:c r="A135" t="str">
        <x:v>Matemática</x:v>
      </x:c>
      <x:c r="B135" t="str">
        <x:v>2° Ciclo</x:v>
      </x:c>
      <x:c r="C135" t="str">
        <x:v>5° Básico</x:v>
      </x:c>
      <x:c r="D135" t="str">
        <x:v>5°B</x:v>
      </x:c>
      <x:c r="E135" t="str">
        <x:v>Geometría</x:v>
      </x:c>
      <x:c r="F135" s="13" t="n">
        <x:v>45.5</x:v>
      </x:c>
      <x:c r="G135" t="str">
        <x:f>IF(F135&lt;50,"NL",IF(F135&lt;66.7,"PL","L"))</x:f>
        <x:v>NL</x:v>
      </x:c>
      <x:c r="H135" t="str">
        <x:v>MATEMATICA__5-B__planilla.xlsx</x:v>
      </x:c>
    </x:row>
    <x:row r="136">
      <x:c r="A136" t="str">
        <x:v>Matemática</x:v>
      </x:c>
      <x:c r="B136" t="str">
        <x:v>2° Ciclo</x:v>
      </x:c>
      <x:c r="C136" t="str">
        <x:v>5° Básico</x:v>
      </x:c>
      <x:c r="D136" t="str">
        <x:v>5°B</x:v>
      </x:c>
      <x:c r="E136" t="str">
        <x:v>Medición</x:v>
      </x:c>
      <x:c r="F136" s="13" t="n">
        <x:v>27.2</x:v>
      </x:c>
      <x:c r="G136" t="str">
        <x:f>IF(F136&lt;50,"NL",IF(F136&lt;66.7,"PL","L"))</x:f>
        <x:v>NL</x:v>
      </x:c>
      <x:c r="H136" t="str">
        <x:v>MATEMATICA__5-B__planilla.xlsx</x:v>
      </x:c>
    </x:row>
    <x:row r="137">
      <x:c r="A137" t="str">
        <x:v>Matemática</x:v>
      </x:c>
      <x:c r="B137" t="str">
        <x:v>2° Ciclo</x:v>
      </x:c>
      <x:c r="C137" t="str">
        <x:v>5° Básico</x:v>
      </x:c>
      <x:c r="D137" t="str">
        <x:v>5°B</x:v>
      </x:c>
      <x:c r="E137" t="str">
        <x:v>Datos y probabilidades</x:v>
      </x:c>
      <x:c r="F137" s="13" t="n">
        <x:v>43.1</x:v>
      </x:c>
      <x:c r="G137" t="str">
        <x:f>IF(F137&lt;50,"NL",IF(F137&lt;66.7,"PL","L"))</x:f>
        <x:v>NL</x:v>
      </x:c>
      <x:c r="H137" t="str">
        <x:v>MATEMATICA__5-B__planilla.xlsx</x:v>
      </x:c>
    </x:row>
    <x:row r="138">
      <x:c r="A138" t="str">
        <x:v>Ciencias Naturales</x:v>
      </x:c>
      <x:c r="B138" t="str">
        <x:v>2° Ciclo</x:v>
      </x:c>
      <x:c r="C138" t="str">
        <x:v>5° Básico</x:v>
      </x:c>
      <x:c r="D138" t="str">
        <x:v>5°B</x:v>
      </x:c>
      <x:c r="E138" t="str">
        <x:v>Ciencias de la vida</x:v>
      </x:c>
      <x:c r="F138" s="13" t="n">
        <x:v>55.4</x:v>
      </x:c>
      <x:c r="G138" t="str">
        <x:f>IF(F138&lt;50,"NL",IF(F138&lt;66.7,"PL","L"))</x:f>
        <x:v>PL</x:v>
      </x:c>
      <x:c r="H138" t="str">
        <x:v>CIENCIAS_NATURALES__5-B__planilla.xlsx</x:v>
      </x:c>
    </x:row>
    <x:row r="139">
      <x:c r="A139" t="str">
        <x:v>Ciencias Naturales</x:v>
      </x:c>
      <x:c r="B139" t="str">
        <x:v>2° Ciclo</x:v>
      </x:c>
      <x:c r="C139" t="str">
        <x:v>5° Básico</x:v>
      </x:c>
      <x:c r="D139" t="str">
        <x:v>5°B</x:v>
      </x:c>
      <x:c r="E139" t="str">
        <x:v>Ciencias Físicas y Químicas</x:v>
      </x:c>
      <x:c r="F139" s="13" t="n">
        <x:v>45.7</x:v>
      </x:c>
      <x:c r="G139" t="str">
        <x:f>IF(F139&lt;50,"NL",IF(F139&lt;66.7,"PL","L"))</x:f>
        <x:v>NL</x:v>
      </x:c>
      <x:c r="H139" t="str">
        <x:v>CIENCIAS_NATURALES__5-B__planilla.xlsx</x:v>
      </x:c>
    </x:row>
    <x:row r="140">
      <x:c r="A140" t="str">
        <x:v>Ciencias Naturales</x:v>
      </x:c>
      <x:c r="B140" t="str">
        <x:v>2° Ciclo</x:v>
      </x:c>
      <x:c r="C140" t="str">
        <x:v>5° Básico</x:v>
      </x:c>
      <x:c r="D140" t="str">
        <x:v>5°B</x:v>
      </x:c>
      <x:c r="E140" t="str">
        <x:v>Ciencias de la Tierra y el Universo</x:v>
      </x:c>
      <x:c r="F140" s="13" t="n">
        <x:v>45.2</x:v>
      </x:c>
      <x:c r="G140" t="str">
        <x:f>IF(F140&lt;50,"NL",IF(F140&lt;66.7,"PL","L"))</x:f>
        <x:v>NL</x:v>
      </x:c>
      <x:c r="H140" t="str">
        <x:v>CIENCIAS_NATURALES__5-B__planilla.xlsx</x:v>
      </x:c>
    </x:row>
    <x:row r="141">
      <x:c r="A141" t="str">
        <x:v>Lectura</x:v>
      </x:c>
      <x:c r="B141" t="str">
        <x:v>2° Ciclo</x:v>
      </x:c>
      <x:c r="C141" t="str">
        <x:v>5° Básico</x:v>
      </x:c>
      <x:c r="D141" t="str">
        <x:v>5°C</x:v>
      </x:c>
      <x:c r="E141" t="str">
        <x:v>Localizar</x:v>
      </x:c>
      <x:c r="F141" s="13" t="n">
        <x:v>51.9</x:v>
      </x:c>
      <x:c r="G141" t="str">
        <x:f>IF(F141&lt;50,"NL",IF(F141&lt;66.7,"PL","L"))</x:f>
        <x:v>PL</x:v>
      </x:c>
      <x:c r="H141" t="str">
        <x:v>LECTURA__5-C__planilla.xlsx</x:v>
      </x:c>
    </x:row>
    <x:row r="142">
      <x:c r="A142" t="str">
        <x:v>Lectura</x:v>
      </x:c>
      <x:c r="B142" t="str">
        <x:v>2° Ciclo</x:v>
      </x:c>
      <x:c r="C142" t="str">
        <x:v>5° Básico</x:v>
      </x:c>
      <x:c r="D142" t="str">
        <x:v>5°C</x:v>
      </x:c>
      <x:c r="E142" t="str">
        <x:v>Interpretar y relacionar</x:v>
      </x:c>
      <x:c r="F142" s="13" t="n">
        <x:v>43.4</x:v>
      </x:c>
      <x:c r="G142" t="str">
        <x:f>IF(F142&lt;50,"NL",IF(F142&lt;66.7,"PL","L"))</x:f>
        <x:v>NL</x:v>
      </x:c>
      <x:c r="H142" t="str">
        <x:v>LECTURA__5-C__planilla.xlsx</x:v>
      </x:c>
    </x:row>
    <x:row r="143">
      <x:c r="A143" t="str">
        <x:v>Lectura</x:v>
      </x:c>
      <x:c r="B143" t="str">
        <x:v>2° Ciclo</x:v>
      </x:c>
      <x:c r="C143" t="str">
        <x:v>5° Básico</x:v>
      </x:c>
      <x:c r="D143" t="str">
        <x:v>5°C</x:v>
      </x:c>
      <x:c r="E143" t="str">
        <x:v>Reflexionar</x:v>
      </x:c>
      <x:c r="F143" s="13" t="n">
        <x:v>48.6</x:v>
      </x:c>
      <x:c r="G143" t="str">
        <x:f>IF(F143&lt;50,"NL",IF(F143&lt;66.7,"PL","L"))</x:f>
        <x:v>NL</x:v>
      </x:c>
      <x:c r="H143" t="str">
        <x:v>LECTURA__5-C__planilla.xlsx</x:v>
      </x:c>
    </x:row>
    <x:row r="144">
      <x:c r="A144" t="str">
        <x:v>Ciencias Naturales</x:v>
      </x:c>
      <x:c r="B144" t="str">
        <x:v>2° Ciclo</x:v>
      </x:c>
      <x:c r="C144" t="str">
        <x:v>5° Básico</x:v>
      </x:c>
      <x:c r="D144" t="str">
        <x:v>5°C</x:v>
      </x:c>
      <x:c r="E144" t="str">
        <x:v>Ciencias de la vida</x:v>
      </x:c>
      <x:c r="F144" s="13" t="n">
        <x:v>55.2</x:v>
      </x:c>
      <x:c r="G144" t="str">
        <x:f>IF(F144&lt;50,"NL",IF(F144&lt;66.7,"PL","L"))</x:f>
        <x:v>PL</x:v>
      </x:c>
      <x:c r="H144" t="str">
        <x:v>CIENCIAS_NATURALES__5-C__planilla.xlsx</x:v>
      </x:c>
    </x:row>
    <x:row r="145">
      <x:c r="A145" t="str">
        <x:v>Ciencias Naturales</x:v>
      </x:c>
      <x:c r="B145" t="str">
        <x:v>2° Ciclo</x:v>
      </x:c>
      <x:c r="C145" t="str">
        <x:v>5° Básico</x:v>
      </x:c>
      <x:c r="D145" t="str">
        <x:v>5°C</x:v>
      </x:c>
      <x:c r="E145" t="str">
        <x:v>Ciencias Físicas y Químicas</x:v>
      </x:c>
      <x:c r="F145" s="13" t="n">
        <x:v>42</x:v>
      </x:c>
      <x:c r="G145" t="str">
        <x:f>IF(F145&lt;50,"NL",IF(F145&lt;66.7,"PL","L"))</x:f>
        <x:v>NL</x:v>
      </x:c>
      <x:c r="H145" t="str">
        <x:v>CIENCIAS_NATURALES__5-C__planilla.xlsx</x:v>
      </x:c>
    </x:row>
    <x:row r="146">
      <x:c r="A146" t="str">
        <x:v>Ciencias Naturales</x:v>
      </x:c>
      <x:c r="B146" t="str">
        <x:v>2° Ciclo</x:v>
      </x:c>
      <x:c r="C146" t="str">
        <x:v>5° Básico</x:v>
      </x:c>
      <x:c r="D146" t="str">
        <x:v>5°C</x:v>
      </x:c>
      <x:c r="E146" t="str">
        <x:v>Ciencias de la Tierra y el Universo</x:v>
      </x:c>
      <x:c r="F146" s="13" t="n">
        <x:v>44.7</x:v>
      </x:c>
      <x:c r="G146" t="str">
        <x:f>IF(F146&lt;50,"NL",IF(F146&lt;66.7,"PL","L"))</x:f>
        <x:v>NL</x:v>
      </x:c>
      <x:c r="H146" t="str">
        <x:v>CIENCIAS_NATURALES__5-C__planilla.xlsx</x:v>
      </x:c>
    </x:row>
    <x:row r="147">
      <x:c r="A147" t="str">
        <x:v>Historia y Cs. Sociales</x:v>
      </x:c>
      <x:c r="B147" t="str">
        <x:v>2° Ciclo</x:v>
      </x:c>
      <x:c r="C147" t="str">
        <x:v>5° Básico</x:v>
      </x:c>
      <x:c r="D147" t="str">
        <x:v>5°C</x:v>
      </x:c>
      <x:c r="E147" t="str">
        <x:v>Historia</x:v>
      </x:c>
      <x:c r="F147" s="13" t="n">
        <x:v>20.2</x:v>
      </x:c>
      <x:c r="G147" t="str">
        <x:f>IF(F147&lt;50,"NL",IF(F147&lt;66.7,"PL","L"))</x:f>
        <x:v>NL</x:v>
      </x:c>
      <x:c r="H147" t="str">
        <x:v>HISTORIA_GEOGRAFIA_y_CIENCIAS_SOCIALES__5-C__planilla.xlsx</x:v>
      </x:c>
    </x:row>
    <x:row r="148">
      <x:c r="A148" t="str">
        <x:v>Historia y Cs. Sociales</x:v>
      </x:c>
      <x:c r="B148" t="str">
        <x:v>2° Ciclo</x:v>
      </x:c>
      <x:c r="C148" t="str">
        <x:v>5° Básico</x:v>
      </x:c>
      <x:c r="D148" t="str">
        <x:v>5°C</x:v>
      </x:c>
      <x:c r="E148" t="str">
        <x:v>Geografía</x:v>
      </x:c>
      <x:c r="F148" s="13" t="n">
        <x:v>38.3</x:v>
      </x:c>
      <x:c r="G148" t="str">
        <x:f>IF(F148&lt;50,"NL",IF(F148&lt;66.7,"PL","L"))</x:f>
        <x:v>NL</x:v>
      </x:c>
      <x:c r="H148" t="str">
        <x:v>HISTORIA_GEOGRAFIA_y_CIENCIAS_SOCIALES__5-C__planilla.xlsx</x:v>
      </x:c>
    </x:row>
    <x:row r="149">
      <x:c r="A149" t="str">
        <x:v>Historia y Cs. Sociales</x:v>
      </x:c>
      <x:c r="B149" t="str">
        <x:v>2° Ciclo</x:v>
      </x:c>
      <x:c r="C149" t="str">
        <x:v>5° Básico</x:v>
      </x:c>
      <x:c r="D149" t="str">
        <x:v>5°C</x:v>
      </x:c>
      <x:c r="E149" t="str">
        <x:v>Formación Ciudadana</x:v>
      </x:c>
      <x:c r="F149" s="13" t="n">
        <x:v>54</x:v>
      </x:c>
      <x:c r="G149" t="str">
        <x:f>IF(F149&lt;50,"NL",IF(F149&lt;66.7,"PL","L"))</x:f>
        <x:v>PL</x:v>
      </x:c>
      <x:c r="H149" t="str">
        <x:v>HISTORIA_GEOGRAFIA_y_CIENCIAS_SOCIALES__5-C__planilla.xlsx</x:v>
      </x:c>
    </x:row>
    <x:row r="150">
      <x:c r="A150" t="str">
        <x:v>Lectura</x:v>
      </x:c>
      <x:c r="B150" t="str">
        <x:v>2° Ciclo</x:v>
      </x:c>
      <x:c r="C150" t="str">
        <x:v>5° Básico</x:v>
      </x:c>
      <x:c r="D150" t="str">
        <x:v>5°D</x:v>
      </x:c>
      <x:c r="E150" t="str">
        <x:v>Localizar</x:v>
      </x:c>
      <x:c r="F150" s="13" t="n">
        <x:v>39.7</x:v>
      </x:c>
      <x:c r="G150" t="str">
        <x:f>IF(F150&lt;50,"NL",IF(F150&lt;66.7,"PL","L"))</x:f>
        <x:v>NL</x:v>
      </x:c>
      <x:c r="H150" t="str">
        <x:v>LECTURA__5-D__planilla.xlsx</x:v>
      </x:c>
    </x:row>
    <x:row r="151">
      <x:c r="A151" t="str">
        <x:v>Lectura</x:v>
      </x:c>
      <x:c r="B151" t="str">
        <x:v>2° Ciclo</x:v>
      </x:c>
      <x:c r="C151" t="str">
        <x:v>5° Básico</x:v>
      </x:c>
      <x:c r="D151" t="str">
        <x:v>5°D</x:v>
      </x:c>
      <x:c r="E151" t="str">
        <x:v>Interpretar y relacionar</x:v>
      </x:c>
      <x:c r="F151" s="13" t="n">
        <x:v>43.9</x:v>
      </x:c>
      <x:c r="G151" t="str">
        <x:f>IF(F151&lt;50,"NL",IF(F151&lt;66.7,"PL","L"))</x:f>
        <x:v>NL</x:v>
      </x:c>
      <x:c r="H151" t="str">
        <x:v>LECTURA__5-D__planilla.xlsx</x:v>
      </x:c>
    </x:row>
    <x:row r="152">
      <x:c r="A152" t="str">
        <x:v>Lectura</x:v>
      </x:c>
      <x:c r="B152" t="str">
        <x:v>2° Ciclo</x:v>
      </x:c>
      <x:c r="C152" t="str">
        <x:v>5° Básico</x:v>
      </x:c>
      <x:c r="D152" t="str">
        <x:v>5°D</x:v>
      </x:c>
      <x:c r="E152" t="str">
        <x:v>Reflexionar</x:v>
      </x:c>
      <x:c r="F152" s="13" t="n">
        <x:v>58.1</x:v>
      </x:c>
      <x:c r="G152" t="str">
        <x:f>IF(F152&lt;50,"NL",IF(F152&lt;66.7,"PL","L"))</x:f>
        <x:v>PL</x:v>
      </x:c>
      <x:c r="H152" t="str">
        <x:v>LECTURA__5-D__planilla.xlsx</x:v>
      </x:c>
    </x:row>
    <x:row r="153">
      <x:c r="A153" t="str">
        <x:v>Matemática</x:v>
      </x:c>
      <x:c r="B153" t="str">
        <x:v>2° Ciclo</x:v>
      </x:c>
      <x:c r="C153" t="str">
        <x:v>5° Básico</x:v>
      </x:c>
      <x:c r="D153" t="str">
        <x:v>5°D</x:v>
      </x:c>
      <x:c r="E153" t="str">
        <x:v>Números y operaciones</x:v>
      </x:c>
      <x:c r="F153" s="13" t="n">
        <x:v>28.8</x:v>
      </x:c>
      <x:c r="G153" t="str">
        <x:f>IF(F153&lt;50,"NL",IF(F153&lt;66.7,"PL","L"))</x:f>
        <x:v>NL</x:v>
      </x:c>
      <x:c r="H153" t="str">
        <x:v>MATEMATICA__5-D__planilla.xlsx</x:v>
      </x:c>
    </x:row>
    <x:row r="154">
      <x:c r="A154" t="str">
        <x:v>Matemática</x:v>
      </x:c>
      <x:c r="B154" t="str">
        <x:v>2° Ciclo</x:v>
      </x:c>
      <x:c r="C154" t="str">
        <x:v>5° Básico</x:v>
      </x:c>
      <x:c r="D154" t="str">
        <x:v>5°D</x:v>
      </x:c>
      <x:c r="E154" t="str">
        <x:v>Patrones y álgebra</x:v>
      </x:c>
      <x:c r="F154" s="13" t="n">
        <x:v>29.2</x:v>
      </x:c>
      <x:c r="G154" t="str">
        <x:f>IF(F154&lt;50,"NL",IF(F154&lt;66.7,"PL","L"))</x:f>
        <x:v>NL</x:v>
      </x:c>
      <x:c r="H154" t="str">
        <x:v>MATEMATICA__5-D__planilla.xlsx</x:v>
      </x:c>
    </x:row>
    <x:row r="155">
      <x:c r="A155" t="str">
        <x:v>Matemática</x:v>
      </x:c>
      <x:c r="B155" t="str">
        <x:v>2° Ciclo</x:v>
      </x:c>
      <x:c r="C155" t="str">
        <x:v>5° Básico</x:v>
      </x:c>
      <x:c r="D155" t="str">
        <x:v>5°D</x:v>
      </x:c>
      <x:c r="E155" t="str">
        <x:v>Geometría</x:v>
      </x:c>
      <x:c r="F155" s="13" t="n">
        <x:v>37.5</x:v>
      </x:c>
      <x:c r="G155" t="str">
        <x:f>IF(F155&lt;50,"NL",IF(F155&lt;66.7,"PL","L"))</x:f>
        <x:v>NL</x:v>
      </x:c>
      <x:c r="H155" t="str">
        <x:v>MATEMATICA__5-D__planilla.xlsx</x:v>
      </x:c>
    </x:row>
    <x:row r="156">
      <x:c r="A156" t="str">
        <x:v>Matemática</x:v>
      </x:c>
      <x:c r="B156" t="str">
        <x:v>2° Ciclo</x:v>
      </x:c>
      <x:c r="C156" t="str">
        <x:v>5° Básico</x:v>
      </x:c>
      <x:c r="D156" t="str">
        <x:v>5°D</x:v>
      </x:c>
      <x:c r="E156" t="str">
        <x:v>Medición</x:v>
      </x:c>
      <x:c r="F156" s="13" t="n">
        <x:v>33.9</x:v>
      </x:c>
      <x:c r="G156" t="str">
        <x:f>IF(F156&lt;50,"NL",IF(F156&lt;66.7,"PL","L"))</x:f>
        <x:v>NL</x:v>
      </x:c>
      <x:c r="H156" t="str">
        <x:v>MATEMATICA__5-D__planilla.xlsx</x:v>
      </x:c>
    </x:row>
    <x:row r="157">
      <x:c r="A157" t="str">
        <x:v>Matemática</x:v>
      </x:c>
      <x:c r="B157" t="str">
        <x:v>2° Ciclo</x:v>
      </x:c>
      <x:c r="C157" t="str">
        <x:v>5° Básico</x:v>
      </x:c>
      <x:c r="D157" t="str">
        <x:v>5°D</x:v>
      </x:c>
      <x:c r="E157" t="str">
        <x:v>Datos y probabilidades</x:v>
      </x:c>
      <x:c r="F157" s="13" t="n">
        <x:v>35.6</x:v>
      </x:c>
      <x:c r="G157" t="str">
        <x:f>IF(F157&lt;50,"NL",IF(F157&lt;66.7,"PL","L"))</x:f>
        <x:v>NL</x:v>
      </x:c>
      <x:c r="H157" t="str">
        <x:v>MATEMATICA__5-D__planilla.xlsx</x:v>
      </x:c>
    </x:row>
    <x:row r="158">
      <x:c r="A158" t="str">
        <x:v>Ciencias Naturales</x:v>
      </x:c>
      <x:c r="B158" t="str">
        <x:v>2° Ciclo</x:v>
      </x:c>
      <x:c r="C158" t="str">
        <x:v>5° Básico</x:v>
      </x:c>
      <x:c r="D158" t="str">
        <x:v>5°D</x:v>
      </x:c>
      <x:c r="E158" t="str">
        <x:v>Ciencias de la vida</x:v>
      </x:c>
      <x:c r="F158" s="13" t="n">
        <x:v>56.7</x:v>
      </x:c>
      <x:c r="G158" t="str">
        <x:f>IF(F158&lt;50,"NL",IF(F158&lt;66.7,"PL","L"))</x:f>
        <x:v>PL</x:v>
      </x:c>
      <x:c r="H158" t="str">
        <x:v>CIENCIAS_NATURALES__5-D__planilla.xlsx</x:v>
      </x:c>
    </x:row>
    <x:row r="159">
      <x:c r="A159" t="str">
        <x:v>Ciencias Naturales</x:v>
      </x:c>
      <x:c r="B159" t="str">
        <x:v>2° Ciclo</x:v>
      </x:c>
      <x:c r="C159" t="str">
        <x:v>5° Básico</x:v>
      </x:c>
      <x:c r="D159" t="str">
        <x:v>5°D</x:v>
      </x:c>
      <x:c r="E159" t="str">
        <x:v>Ciencias Físicas y Químicas</x:v>
      </x:c>
      <x:c r="F159" s="13" t="n">
        <x:v>33.3</x:v>
      </x:c>
      <x:c r="G159" t="str">
        <x:f>IF(F159&lt;50,"NL",IF(F159&lt;66.7,"PL","L"))</x:f>
        <x:v>NL</x:v>
      </x:c>
      <x:c r="H159" t="str">
        <x:v>CIENCIAS_NATURALES__5-D__planilla.xlsx</x:v>
      </x:c>
    </x:row>
    <x:row r="160">
      <x:c r="A160" t="str">
        <x:v>Ciencias Naturales</x:v>
      </x:c>
      <x:c r="B160" t="str">
        <x:v>2° Ciclo</x:v>
      </x:c>
      <x:c r="C160" t="str">
        <x:v>5° Básico</x:v>
      </x:c>
      <x:c r="D160" t="str">
        <x:v>5°D</x:v>
      </x:c>
      <x:c r="E160" t="str">
        <x:v>Ciencias de la Tierra y el Universo</x:v>
      </x:c>
      <x:c r="F160" s="13" t="n">
        <x:v>41.6</x:v>
      </x:c>
      <x:c r="G160" t="str">
        <x:f>IF(F160&lt;50,"NL",IF(F160&lt;66.7,"PL","L"))</x:f>
        <x:v>NL</x:v>
      </x:c>
      <x:c r="H160" t="str">
        <x:v>CIENCIAS_NATURALES__5-D__planilla.xlsx</x:v>
      </x:c>
    </x:row>
    <x:row r="161">
      <x:c r="A161" t="str">
        <x:v>Historia y Cs. Sociales</x:v>
      </x:c>
      <x:c r="B161" t="str">
        <x:v>2° Ciclo</x:v>
      </x:c>
      <x:c r="C161" t="str">
        <x:v>5° Básico</x:v>
      </x:c>
      <x:c r="D161" t="str">
        <x:v>5°D</x:v>
      </x:c>
      <x:c r="E161" t="str">
        <x:v>Historia</x:v>
      </x:c>
      <x:c r="F161" s="13" t="n">
        <x:v>14.3</x:v>
      </x:c>
      <x:c r="G161" t="str">
        <x:f>IF(F161&lt;50,"NL",IF(F161&lt;66.7,"PL","L"))</x:f>
        <x:v>NL</x:v>
      </x:c>
      <x:c r="H161" t="str">
        <x:v>HISTORIA_GEOGRAFIA_y_CIENCIAS_SOCIALES__5-D__planilla.xlsx</x:v>
      </x:c>
    </x:row>
    <x:row r="162">
      <x:c r="A162" t="str">
        <x:v>Historia y Cs. Sociales</x:v>
      </x:c>
      <x:c r="B162" t="str">
        <x:v>2° Ciclo</x:v>
      </x:c>
      <x:c r="C162" t="str">
        <x:v>5° Básico</x:v>
      </x:c>
      <x:c r="D162" t="str">
        <x:v>5°D</x:v>
      </x:c>
      <x:c r="E162" t="str">
        <x:v>Geografía</x:v>
      </x:c>
      <x:c r="F162" s="13" t="n">
        <x:v>48.7</x:v>
      </x:c>
      <x:c r="G162" t="str">
        <x:f>IF(F162&lt;50,"NL",IF(F162&lt;66.7,"PL","L"))</x:f>
        <x:v>NL</x:v>
      </x:c>
      <x:c r="H162" t="str">
        <x:v>HISTORIA_GEOGRAFIA_y_CIENCIAS_SOCIALES__5-D__planilla.xlsx</x:v>
      </x:c>
    </x:row>
    <x:row r="163">
      <x:c r="A163" t="str">
        <x:v>Historia y Cs. Sociales</x:v>
      </x:c>
      <x:c r="B163" t="str">
        <x:v>2° Ciclo</x:v>
      </x:c>
      <x:c r="C163" t="str">
        <x:v>5° Básico</x:v>
      </x:c>
      <x:c r="D163" t="str">
        <x:v>5°D</x:v>
      </x:c>
      <x:c r="E163" t="str">
        <x:v>Formación Ciudadana</x:v>
      </x:c>
      <x:c r="F163" s="13" t="n">
        <x:v>81.4</x:v>
      </x:c>
      <x:c r="G163" t="str">
        <x:f>IF(F163&lt;50,"NL",IF(F163&lt;66.7,"PL","L"))</x:f>
        <x:v>L</x:v>
      </x:c>
      <x:c r="H163" t="str">
        <x:v>HISTORIA_GEOGRAFIA_y_CIENCIAS_SOCIALES__5-D__planilla.xlsx</x:v>
      </x:c>
    </x:row>
    <x:row r="164">
      <x:c r="A164" t="str">
        <x:v>Lectura</x:v>
      </x:c>
      <x:c r="B164" t="str">
        <x:v>2° Ciclo</x:v>
      </x:c>
      <x:c r="C164" t="str">
        <x:v>6° Básico</x:v>
      </x:c>
      <x:c r="D164" t="str">
        <x:v>6°A</x:v>
      </x:c>
      <x:c r="E164" t="str">
        <x:v>Localizar</x:v>
      </x:c>
      <x:c r="F164" s="13" t="n">
        <x:v>61.1</x:v>
      </x:c>
      <x:c r="G164" t="str">
        <x:f>IF(F164&lt;50,"NL",IF(F164&lt;66.7,"PL","L"))</x:f>
        <x:v>PL</x:v>
      </x:c>
      <x:c r="H164" t="str">
        <x:v>LECTURA__6-A__planilla.xlsx</x:v>
      </x:c>
    </x:row>
    <x:row r="165">
      <x:c r="A165" t="str">
        <x:v>Lectura</x:v>
      </x:c>
      <x:c r="B165" t="str">
        <x:v>2° Ciclo</x:v>
      </x:c>
      <x:c r="C165" t="str">
        <x:v>6° Básico</x:v>
      </x:c>
      <x:c r="D165" t="str">
        <x:v>6°A</x:v>
      </x:c>
      <x:c r="E165" t="str">
        <x:v>Interpretar y relacionar</x:v>
      </x:c>
      <x:c r="F165" s="13" t="n">
        <x:v>51.1</x:v>
      </x:c>
      <x:c r="G165" t="str">
        <x:f>IF(F165&lt;50,"NL",IF(F165&lt;66.7,"PL","L"))</x:f>
        <x:v>PL</x:v>
      </x:c>
      <x:c r="H165" t="str">
        <x:v>LECTURA__6-A__planilla.xlsx</x:v>
      </x:c>
    </x:row>
    <x:row r="166">
      <x:c r="A166" t="str">
        <x:v>Lectura</x:v>
      </x:c>
      <x:c r="B166" t="str">
        <x:v>2° Ciclo</x:v>
      </x:c>
      <x:c r="C166" t="str">
        <x:v>6° Básico</x:v>
      </x:c>
      <x:c r="D166" t="str">
        <x:v>6°A</x:v>
      </x:c>
      <x:c r="E166" t="str">
        <x:v>Reflexionar</x:v>
      </x:c>
      <x:c r="F166" s="13" t="n">
        <x:v>73.6</x:v>
      </x:c>
      <x:c r="G166" t="str">
        <x:f>IF(F166&lt;50,"NL",IF(F166&lt;66.7,"PL","L"))</x:f>
        <x:v>L</x:v>
      </x:c>
      <x:c r="H166" t="str">
        <x:v>LECTURA__6-A__planilla.xlsx</x:v>
      </x:c>
    </x:row>
    <x:row r="167">
      <x:c r="A167" t="str">
        <x:v>Ciencias Naturales</x:v>
      </x:c>
      <x:c r="B167" t="str">
        <x:v>2° Ciclo</x:v>
      </x:c>
      <x:c r="C167" t="str">
        <x:v>6° Básico</x:v>
      </x:c>
      <x:c r="D167" t="str">
        <x:v>6°A</x:v>
      </x:c>
      <x:c r="E167" t="str">
        <x:v>Ciencias de la vida</x:v>
      </x:c>
      <x:c r="F167" s="13" t="n">
        <x:v>47.9</x:v>
      </x:c>
      <x:c r="G167" t="str">
        <x:f>IF(F167&lt;50,"NL",IF(F167&lt;66.7,"PL","L"))</x:f>
        <x:v>NL</x:v>
      </x:c>
      <x:c r="H167" t="str">
        <x:v>CIENCIAS_NATURALES__6-A__planilla.xlsx</x:v>
      </x:c>
    </x:row>
    <x:row r="168">
      <x:c r="A168" t="str">
        <x:v>Ciencias Naturales</x:v>
      </x:c>
      <x:c r="B168" t="str">
        <x:v>2° Ciclo</x:v>
      </x:c>
      <x:c r="C168" t="str">
        <x:v>6° Básico</x:v>
      </x:c>
      <x:c r="D168" t="str">
        <x:v>6°A</x:v>
      </x:c>
      <x:c r="E168" t="str">
        <x:v>Ciencias Físicas y Químicas</x:v>
      </x:c>
      <x:c r="F168" s="13" t="n">
        <x:v>37.1</x:v>
      </x:c>
      <x:c r="G168" t="str">
        <x:f>IF(F168&lt;50,"NL",IF(F168&lt;66.7,"PL","L"))</x:f>
        <x:v>NL</x:v>
      </x:c>
      <x:c r="H168" t="str">
        <x:v>CIENCIAS_NATURALES__6-A__planilla.xlsx</x:v>
      </x:c>
    </x:row>
    <x:row r="169">
      <x:c r="A169" t="str">
        <x:v>Ciencias Naturales</x:v>
      </x:c>
      <x:c r="B169" t="str">
        <x:v>2° Ciclo</x:v>
      </x:c>
      <x:c r="C169" t="str">
        <x:v>6° Básico</x:v>
      </x:c>
      <x:c r="D169" t="str">
        <x:v>6°A</x:v>
      </x:c>
      <x:c r="E169" t="str">
        <x:v>Ciencias de la Tierra y el Universo</x:v>
      </x:c>
      <x:c r="F169" s="13" t="n">
        <x:v>35.4</x:v>
      </x:c>
      <x:c r="G169" t="str">
        <x:f>IF(F169&lt;50,"NL",IF(F169&lt;66.7,"PL","L"))</x:f>
        <x:v>NL</x:v>
      </x:c>
      <x:c r="H169" t="str">
        <x:v>CIENCIAS_NATURALES__6-A__planilla.xlsx</x:v>
      </x:c>
    </x:row>
    <x:row r="170">
      <x:c r="A170" t="str">
        <x:v>Historia y Cs. Sociales</x:v>
      </x:c>
      <x:c r="B170" t="str">
        <x:v>2° Ciclo</x:v>
      </x:c>
      <x:c r="C170" t="str">
        <x:v>6° Básico</x:v>
      </x:c>
      <x:c r="D170" t="str">
        <x:v>6°A</x:v>
      </x:c>
      <x:c r="E170" t="str">
        <x:v>Historia</x:v>
      </x:c>
      <x:c r="F170" s="13" t="n">
        <x:v>26.2</x:v>
      </x:c>
      <x:c r="G170" t="str">
        <x:f>IF(F170&lt;50,"NL",IF(F170&lt;66.7,"PL","L"))</x:f>
        <x:v>NL</x:v>
      </x:c>
      <x:c r="H170" t="str">
        <x:v>HISTORIA_GEOGRAFIA_y_CIENCIAS_SOCIALES__6-A__planilla.xlsx</x:v>
      </x:c>
    </x:row>
    <x:row r="171">
      <x:c r="A171" t="str">
        <x:v>Historia y Cs. Sociales</x:v>
      </x:c>
      <x:c r="B171" t="str">
        <x:v>2° Ciclo</x:v>
      </x:c>
      <x:c r="C171" t="str">
        <x:v>6° Básico</x:v>
      </x:c>
      <x:c r="D171" t="str">
        <x:v>6°A</x:v>
      </x:c>
      <x:c r="E171" t="str">
        <x:v>Geografía</x:v>
      </x:c>
      <x:c r="F171" s="13" t="n">
        <x:v>27.9</x:v>
      </x:c>
      <x:c r="G171" t="str">
        <x:f>IF(F171&lt;50,"NL",IF(F171&lt;66.7,"PL","L"))</x:f>
        <x:v>NL</x:v>
      </x:c>
      <x:c r="H171" t="str">
        <x:v>HISTORIA_GEOGRAFIA_y_CIENCIAS_SOCIALES__6-A__planilla.xlsx</x:v>
      </x:c>
    </x:row>
    <x:row r="172">
      <x:c r="A172" t="str">
        <x:v>Historia y Cs. Sociales</x:v>
      </x:c>
      <x:c r="B172" t="str">
        <x:v>2° Ciclo</x:v>
      </x:c>
      <x:c r="C172" t="str">
        <x:v>6° Básico</x:v>
      </x:c>
      <x:c r="D172" t="str">
        <x:v>6°A</x:v>
      </x:c>
      <x:c r="E172" t="str">
        <x:v>Formación Ciudadana</x:v>
      </x:c>
      <x:c r="F172" s="13" t="n">
        <x:v>24.7</x:v>
      </x:c>
      <x:c r="G172" t="str">
        <x:f>IF(F172&lt;50,"NL",IF(F172&lt;66.7,"PL","L"))</x:f>
        <x:v>NL</x:v>
      </x:c>
      <x:c r="H172" t="str">
        <x:v>HISTORIA_GEOGRAFIA_y_CIENCIAS_SOCIALES__6-A__planilla.xlsx</x:v>
      </x:c>
    </x:row>
    <x:row r="173">
      <x:c r="A173" t="str">
        <x:v>Lectura</x:v>
      </x:c>
      <x:c r="B173" t="str">
        <x:v>2° Ciclo</x:v>
      </x:c>
      <x:c r="C173" t="str">
        <x:v>6° Básico</x:v>
      </x:c>
      <x:c r="D173" t="str">
        <x:v>6°B</x:v>
      </x:c>
      <x:c r="E173" t="str">
        <x:v>Localizar</x:v>
      </x:c>
      <x:c r="F173" s="13" t="n">
        <x:v>51</x:v>
      </x:c>
      <x:c r="G173" t="str">
        <x:f>IF(F173&lt;50,"NL",IF(F173&lt;66.7,"PL","L"))</x:f>
        <x:v>PL</x:v>
      </x:c>
      <x:c r="H173" t="str">
        <x:v>LECTURA__6-B__planilla.xlsx</x:v>
      </x:c>
    </x:row>
    <x:row r="174">
      <x:c r="A174" t="str">
        <x:v>Lectura</x:v>
      </x:c>
      <x:c r="B174" t="str">
        <x:v>2° Ciclo</x:v>
      </x:c>
      <x:c r="C174" t="str">
        <x:v>6° Básico</x:v>
      </x:c>
      <x:c r="D174" t="str">
        <x:v>6°B</x:v>
      </x:c>
      <x:c r="E174" t="str">
        <x:v>Interpretar y relacionar</x:v>
      </x:c>
      <x:c r="F174" s="13" t="n">
        <x:v>45</x:v>
      </x:c>
      <x:c r="G174" t="str">
        <x:f>IF(F174&lt;50,"NL",IF(F174&lt;66.7,"PL","L"))</x:f>
        <x:v>NL</x:v>
      </x:c>
      <x:c r="H174" t="str">
        <x:v>LECTURA__6-B__planilla.xlsx</x:v>
      </x:c>
    </x:row>
    <x:row r="175">
      <x:c r="A175" t="str">
        <x:v>Lectura</x:v>
      </x:c>
      <x:c r="B175" t="str">
        <x:v>2° Ciclo</x:v>
      </x:c>
      <x:c r="C175" t="str">
        <x:v>6° Básico</x:v>
      </x:c>
      <x:c r="D175" t="str">
        <x:v>6°B</x:v>
      </x:c>
      <x:c r="E175" t="str">
        <x:v>Reflexionar</x:v>
      </x:c>
      <x:c r="F175" s="13" t="n">
        <x:v>75.3</x:v>
      </x:c>
      <x:c r="G175" t="str">
        <x:f>IF(F175&lt;50,"NL",IF(F175&lt;66.7,"PL","L"))</x:f>
        <x:v>L</x:v>
      </x:c>
      <x:c r="H175" t="str">
        <x:v>LECTURA__6-B__planilla.xlsx</x:v>
      </x:c>
    </x:row>
    <x:row r="176">
      <x:c r="A176" t="str">
        <x:v>Ciencias Naturales</x:v>
      </x:c>
      <x:c r="B176" t="str">
        <x:v>2° Ciclo</x:v>
      </x:c>
      <x:c r="C176" t="str">
        <x:v>6° Básico</x:v>
      </x:c>
      <x:c r="D176" t="str">
        <x:v>6°B</x:v>
      </x:c>
      <x:c r="E176" t="str">
        <x:v>Ciencias de la vida</x:v>
      </x:c>
      <x:c r="F176" s="13" t="n">
        <x:v>50.4</x:v>
      </x:c>
      <x:c r="G176" t="str">
        <x:f>IF(F176&lt;50,"NL",IF(F176&lt;66.7,"PL","L"))</x:f>
        <x:v>PL</x:v>
      </x:c>
      <x:c r="H176" t="str">
        <x:v>CIENCIAS_NATURALES__6-B__planilla.xlsx</x:v>
      </x:c>
    </x:row>
    <x:row r="177">
      <x:c r="A177" t="str">
        <x:v>Ciencias Naturales</x:v>
      </x:c>
      <x:c r="B177" t="str">
        <x:v>2° Ciclo</x:v>
      </x:c>
      <x:c r="C177" t="str">
        <x:v>6° Básico</x:v>
      </x:c>
      <x:c r="D177" t="str">
        <x:v>6°B</x:v>
      </x:c>
      <x:c r="E177" t="str">
        <x:v>Ciencias Físicas y Químicas</x:v>
      </x:c>
      <x:c r="F177" s="13" t="n">
        <x:v>42.3</x:v>
      </x:c>
      <x:c r="G177" t="str">
        <x:f>IF(F177&lt;50,"NL",IF(F177&lt;66.7,"PL","L"))</x:f>
        <x:v>NL</x:v>
      </x:c>
      <x:c r="H177" t="str">
        <x:v>CIENCIAS_NATURALES__6-B__planilla.xlsx</x:v>
      </x:c>
    </x:row>
    <x:row r="178">
      <x:c r="A178" t="str">
        <x:v>Ciencias Naturales</x:v>
      </x:c>
      <x:c r="B178" t="str">
        <x:v>2° Ciclo</x:v>
      </x:c>
      <x:c r="C178" t="str">
        <x:v>6° Básico</x:v>
      </x:c>
      <x:c r="D178" t="str">
        <x:v>6°B</x:v>
      </x:c>
      <x:c r="E178" t="str">
        <x:v>Ciencias de la Tierra y el Universo</x:v>
      </x:c>
      <x:c r="F178" s="13" t="n">
        <x:v>33.3</x:v>
      </x:c>
      <x:c r="G178" t="str">
        <x:f>IF(F178&lt;50,"NL",IF(F178&lt;66.7,"PL","L"))</x:f>
        <x:v>NL</x:v>
      </x:c>
      <x:c r="H178" t="str">
        <x:v>CIENCIAS_NATURALES__6-B__planilla.xlsx</x:v>
      </x:c>
    </x:row>
    <x:row r="179">
      <x:c r="A179" t="str">
        <x:v>Historia y Cs. Sociales</x:v>
      </x:c>
      <x:c r="B179" t="str">
        <x:v>2° Ciclo</x:v>
      </x:c>
      <x:c r="C179" t="str">
        <x:v>6° Básico</x:v>
      </x:c>
      <x:c r="D179" t="str">
        <x:v>6°B</x:v>
      </x:c>
      <x:c r="E179" t="str">
        <x:v>Historia</x:v>
      </x:c>
      <x:c r="F179" s="13" t="n">
        <x:v>28.3</x:v>
      </x:c>
      <x:c r="G179" t="str">
        <x:f>IF(F179&lt;50,"NL",IF(F179&lt;66.7,"PL","L"))</x:f>
        <x:v>NL</x:v>
      </x:c>
      <x:c r="H179" t="str">
        <x:v>HISTORIA_GEOGRAFIA_y_CIENCIAS_SOCIALES__6-B__planilla.xlsx</x:v>
      </x:c>
    </x:row>
    <x:row r="180">
      <x:c r="A180" t="str">
        <x:v>Historia y Cs. Sociales</x:v>
      </x:c>
      <x:c r="B180" t="str">
        <x:v>2° Ciclo</x:v>
      </x:c>
      <x:c r="C180" t="str">
        <x:v>6° Básico</x:v>
      </x:c>
      <x:c r="D180" t="str">
        <x:v>6°B</x:v>
      </x:c>
      <x:c r="E180" t="str">
        <x:v>Geografía</x:v>
      </x:c>
      <x:c r="F180" s="13" t="n">
        <x:v>23.1</x:v>
      </x:c>
      <x:c r="G180" t="str">
        <x:f>IF(F180&lt;50,"NL",IF(F180&lt;66.7,"PL","L"))</x:f>
        <x:v>NL</x:v>
      </x:c>
      <x:c r="H180" t="str">
        <x:v>HISTORIA_GEOGRAFIA_y_CIENCIAS_SOCIALES__6-B__planilla.xlsx</x:v>
      </x:c>
    </x:row>
    <x:row r="181">
      <x:c r="A181" t="str">
        <x:v>Historia y Cs. Sociales</x:v>
      </x:c>
      <x:c r="B181" t="str">
        <x:v>2° Ciclo</x:v>
      </x:c>
      <x:c r="C181" t="str">
        <x:v>6° Básico</x:v>
      </x:c>
      <x:c r="D181" t="str">
        <x:v>6°B</x:v>
      </x:c>
      <x:c r="E181" t="str">
        <x:v>Formación Ciudadana</x:v>
      </x:c>
      <x:c r="F181" s="13" t="n">
        <x:v>22.5</x:v>
      </x:c>
      <x:c r="G181" t="str">
        <x:f>IF(F181&lt;50,"NL",IF(F181&lt;66.7,"PL","L"))</x:f>
        <x:v>NL</x:v>
      </x:c>
      <x:c r="H181" t="str">
        <x:v>HISTORIA_GEOGRAFIA_y_CIENCIAS_SOCIALES__6-B__planilla.xlsx</x:v>
      </x:c>
    </x:row>
    <x:row r="182">
      <x:c r="A182" t="str">
        <x:v>Lectura</x:v>
      </x:c>
      <x:c r="B182" t="str">
        <x:v>2° Ciclo</x:v>
      </x:c>
      <x:c r="C182" t="str">
        <x:v>6° Básico</x:v>
      </x:c>
      <x:c r="D182" t="str">
        <x:v>6°C</x:v>
      </x:c>
      <x:c r="E182" t="str">
        <x:v>Localizar</x:v>
      </x:c>
      <x:c r="F182" s="13" t="n">
        <x:v>43.7</x:v>
      </x:c>
      <x:c r="G182" t="str">
        <x:f>IF(F182&lt;50,"NL",IF(F182&lt;66.7,"PL","L"))</x:f>
        <x:v>NL</x:v>
      </x:c>
      <x:c r="H182" t="str">
        <x:v>LECTURA__6-C__planilla.xlsx</x:v>
      </x:c>
    </x:row>
    <x:row r="183">
      <x:c r="A183" t="str">
        <x:v>Lectura</x:v>
      </x:c>
      <x:c r="B183" t="str">
        <x:v>2° Ciclo</x:v>
      </x:c>
      <x:c r="C183" t="str">
        <x:v>6° Básico</x:v>
      </x:c>
      <x:c r="D183" t="str">
        <x:v>6°C</x:v>
      </x:c>
      <x:c r="E183" t="str">
        <x:v>Interpretar y relacionar</x:v>
      </x:c>
      <x:c r="F183" s="13" t="n">
        <x:v>41.8</x:v>
      </x:c>
      <x:c r="G183" t="str">
        <x:f>IF(F183&lt;50,"NL",IF(F183&lt;66.7,"PL","L"))</x:f>
        <x:v>NL</x:v>
      </x:c>
      <x:c r="H183" t="str">
        <x:v>LECTURA__6-C__planilla.xlsx</x:v>
      </x:c>
    </x:row>
    <x:row r="184">
      <x:c r="A184" t="str">
        <x:v>Lectura</x:v>
      </x:c>
      <x:c r="B184" t="str">
        <x:v>2° Ciclo</x:v>
      </x:c>
      <x:c r="C184" t="str">
        <x:v>6° Básico</x:v>
      </x:c>
      <x:c r="D184" t="str">
        <x:v>6°C</x:v>
      </x:c>
      <x:c r="E184" t="str">
        <x:v>Reflexionar</x:v>
      </x:c>
      <x:c r="F184" s="13" t="n">
        <x:v>75.7</x:v>
      </x:c>
      <x:c r="G184" t="str">
        <x:f>IF(F184&lt;50,"NL",IF(F184&lt;66.7,"PL","L"))</x:f>
        <x:v>L</x:v>
      </x:c>
      <x:c r="H184" t="str">
        <x:v>LECTURA__6-C__planilla.xlsx</x:v>
      </x:c>
    </x:row>
    <x:row r="185">
      <x:c r="A185" t="str">
        <x:v>Matemática</x:v>
      </x:c>
      <x:c r="B185" t="str">
        <x:v>2° Ciclo</x:v>
      </x:c>
      <x:c r="C185" t="str">
        <x:v>6° Básico</x:v>
      </x:c>
      <x:c r="D185" t="str">
        <x:v>6°C</x:v>
      </x:c>
      <x:c r="E185" t="str">
        <x:v>Números y operaciones</x:v>
      </x:c>
      <x:c r="F185" s="13" t="n">
        <x:v>32</x:v>
      </x:c>
      <x:c r="G185" t="str">
        <x:f>IF(F185&lt;50,"NL",IF(F185&lt;66.7,"PL","L"))</x:f>
        <x:v>NL</x:v>
      </x:c>
      <x:c r="H185" t="str">
        <x:v>MATEMATICA__6-C__planilla.xlsx</x:v>
      </x:c>
    </x:row>
    <x:row r="186">
      <x:c r="A186" t="str">
        <x:v>Matemática</x:v>
      </x:c>
      <x:c r="B186" t="str">
        <x:v>2° Ciclo</x:v>
      </x:c>
      <x:c r="C186" t="str">
        <x:v>6° Básico</x:v>
      </x:c>
      <x:c r="D186" t="str">
        <x:v>6°C</x:v>
      </x:c>
      <x:c r="E186" t="str">
        <x:v>Patrones y álgebra</x:v>
      </x:c>
      <x:c r="F186" s="13" t="n">
        <x:v>23.9</x:v>
      </x:c>
      <x:c r="G186" t="str">
        <x:f>IF(F186&lt;50,"NL",IF(F186&lt;66.7,"PL","L"))</x:f>
        <x:v>NL</x:v>
      </x:c>
      <x:c r="H186" t="str">
        <x:v>MATEMATICA__6-C__planilla.xlsx</x:v>
      </x:c>
    </x:row>
    <x:row r="187">
      <x:c r="A187" t="str">
        <x:v>Matemática</x:v>
      </x:c>
      <x:c r="B187" t="str">
        <x:v>2° Ciclo</x:v>
      </x:c>
      <x:c r="C187" t="str">
        <x:v>6° Básico</x:v>
      </x:c>
      <x:c r="D187" t="str">
        <x:v>6°C</x:v>
      </x:c>
      <x:c r="E187" t="str">
        <x:v>Geometría</x:v>
      </x:c>
      <x:c r="F187" s="13" t="n">
        <x:v>19.9</x:v>
      </x:c>
      <x:c r="G187" t="str">
        <x:f>IF(F187&lt;50,"NL",IF(F187&lt;66.7,"PL","L"))</x:f>
        <x:v>NL</x:v>
      </x:c>
      <x:c r="H187" t="str">
        <x:v>MATEMATICA__6-C__planilla.xlsx</x:v>
      </x:c>
    </x:row>
    <x:row r="188">
      <x:c r="A188" t="str">
        <x:v>Matemática</x:v>
      </x:c>
      <x:c r="B188" t="str">
        <x:v>2° Ciclo</x:v>
      </x:c>
      <x:c r="C188" t="str">
        <x:v>6° Básico</x:v>
      </x:c>
      <x:c r="D188" t="str">
        <x:v>6°C</x:v>
      </x:c>
      <x:c r="E188" t="str">
        <x:v>Medición</x:v>
      </x:c>
      <x:c r="F188" s="13" t="n">
        <x:v>23</x:v>
      </x:c>
      <x:c r="G188" t="str">
        <x:f>IF(F188&lt;50,"NL",IF(F188&lt;66.7,"PL","L"))</x:f>
        <x:v>NL</x:v>
      </x:c>
      <x:c r="H188" t="str">
        <x:v>MATEMATICA__6-C__planilla.xlsx</x:v>
      </x:c>
    </x:row>
    <x:row r="189">
      <x:c r="A189" t="str">
        <x:v>Matemática</x:v>
      </x:c>
      <x:c r="B189" t="str">
        <x:v>2° Ciclo</x:v>
      </x:c>
      <x:c r="C189" t="str">
        <x:v>6° Básico</x:v>
      </x:c>
      <x:c r="D189" t="str">
        <x:v>6°C</x:v>
      </x:c>
      <x:c r="E189" t="str">
        <x:v>Datos y probabilidades</x:v>
      </x:c>
      <x:c r="F189" s="13" t="n">
        <x:v>25.8</x:v>
      </x:c>
      <x:c r="G189" t="str">
        <x:f>IF(F189&lt;50,"NL",IF(F189&lt;66.7,"PL","L"))</x:f>
        <x:v>NL</x:v>
      </x:c>
      <x:c r="H189" t="str">
        <x:v>MATEMATICA__6-C__planilla.xlsx</x:v>
      </x:c>
    </x:row>
    <x:row r="190">
      <x:c r="A190" t="str">
        <x:v>Ciencias Naturales</x:v>
      </x:c>
      <x:c r="B190" t="str">
        <x:v>2° Ciclo</x:v>
      </x:c>
      <x:c r="C190" t="str">
        <x:v>6° Básico</x:v>
      </x:c>
      <x:c r="D190" t="str">
        <x:v>6°C</x:v>
      </x:c>
      <x:c r="E190" t="str">
        <x:v>Ciencias de la vida</x:v>
      </x:c>
      <x:c r="F190" s="13" t="n">
        <x:v>49.2</x:v>
      </x:c>
      <x:c r="G190" t="str">
        <x:f>IF(F190&lt;50,"NL",IF(F190&lt;66.7,"PL","L"))</x:f>
        <x:v>NL</x:v>
      </x:c>
      <x:c r="H190" t="str">
        <x:v>CIENCIAS_NATURALES__6-C__planilla.xlsx</x:v>
      </x:c>
    </x:row>
    <x:row r="191">
      <x:c r="A191" t="str">
        <x:v>Ciencias Naturales</x:v>
      </x:c>
      <x:c r="B191" t="str">
        <x:v>2° Ciclo</x:v>
      </x:c>
      <x:c r="C191" t="str">
        <x:v>6° Básico</x:v>
      </x:c>
      <x:c r="D191" t="str">
        <x:v>6°C</x:v>
      </x:c>
      <x:c r="E191" t="str">
        <x:v>Ciencias Físicas y Químicas</x:v>
      </x:c>
      <x:c r="F191" s="13" t="n">
        <x:v>31.4</x:v>
      </x:c>
      <x:c r="G191" t="str">
        <x:f>IF(F191&lt;50,"NL",IF(F191&lt;66.7,"PL","L"))</x:f>
        <x:v>NL</x:v>
      </x:c>
      <x:c r="H191" t="str">
        <x:v>CIENCIAS_NATURALES__6-C__planilla.xlsx</x:v>
      </x:c>
    </x:row>
    <x:row r="192">
      <x:c r="A192" t="str">
        <x:v>Ciencias Naturales</x:v>
      </x:c>
      <x:c r="B192" t="str">
        <x:v>2° Ciclo</x:v>
      </x:c>
      <x:c r="C192" t="str">
        <x:v>6° Básico</x:v>
      </x:c>
      <x:c r="D192" t="str">
        <x:v>6°C</x:v>
      </x:c>
      <x:c r="E192" t="str">
        <x:v>Ciencias de la Tierra y el Universo</x:v>
      </x:c>
      <x:c r="F192" s="13" t="n">
        <x:v>28.9</x:v>
      </x:c>
      <x:c r="G192" t="str">
        <x:f>IF(F192&lt;50,"NL",IF(F192&lt;66.7,"PL","L"))</x:f>
        <x:v>NL</x:v>
      </x:c>
      <x:c r="H192" t="str">
        <x:v>CIENCIAS_NATURALES__6-C__planilla.xlsx</x:v>
      </x:c>
    </x:row>
    <x:row r="193">
      <x:c r="A193" t="str">
        <x:v>Historia y Cs. Sociales</x:v>
      </x:c>
      <x:c r="B193" t="str">
        <x:v>2° Ciclo</x:v>
      </x:c>
      <x:c r="C193" t="str">
        <x:v>6° Básico</x:v>
      </x:c>
      <x:c r="D193" t="str">
        <x:v>6°C</x:v>
      </x:c>
      <x:c r="E193" t="str">
        <x:v>Historia</x:v>
      </x:c>
      <x:c r="F193" s="13" t="n">
        <x:v>31.5</x:v>
      </x:c>
      <x:c r="G193" t="str">
        <x:f>IF(F193&lt;50,"NL",IF(F193&lt;66.7,"PL","L"))</x:f>
        <x:v>NL</x:v>
      </x:c>
      <x:c r="H193" t="str">
        <x:v>HISTORIA_GEOGRAFIA_y_CIENCIAS_SOCIALES__6-C__planilla.xlsx</x:v>
      </x:c>
    </x:row>
    <x:row r="194">
      <x:c r="A194" t="str">
        <x:v>Historia y Cs. Sociales</x:v>
      </x:c>
      <x:c r="B194" t="str">
        <x:v>2° Ciclo</x:v>
      </x:c>
      <x:c r="C194" t="str">
        <x:v>6° Básico</x:v>
      </x:c>
      <x:c r="D194" t="str">
        <x:v>6°C</x:v>
      </x:c>
      <x:c r="E194" t="str">
        <x:v>Geografía</x:v>
      </x:c>
      <x:c r="F194" s="13" t="n">
        <x:v>20</x:v>
      </x:c>
      <x:c r="G194" t="str">
        <x:f>IF(F194&lt;50,"NL",IF(F194&lt;66.7,"PL","L"))</x:f>
        <x:v>NL</x:v>
      </x:c>
      <x:c r="H194" t="str">
        <x:v>HISTORIA_GEOGRAFIA_y_CIENCIAS_SOCIALES__6-C__planilla.xlsx</x:v>
      </x:c>
    </x:row>
    <x:row r="195">
      <x:c r="A195" t="str">
        <x:v>Historia y Cs. Sociales</x:v>
      </x:c>
      <x:c r="B195" t="str">
        <x:v>2° Ciclo</x:v>
      </x:c>
      <x:c r="C195" t="str">
        <x:v>6° Básico</x:v>
      </x:c>
      <x:c r="D195" t="str">
        <x:v>6°C</x:v>
      </x:c>
      <x:c r="E195" t="str">
        <x:v>Formación Ciudadana</x:v>
      </x:c>
      <x:c r="F195" s="13" t="n">
        <x:v>37.4</x:v>
      </x:c>
      <x:c r="G195" t="str">
        <x:f>IF(F195&lt;50,"NL",IF(F195&lt;66.7,"PL","L"))</x:f>
        <x:v>NL</x:v>
      </x:c>
      <x:c r="H195" t="str">
        <x:v>HISTORIA_GEOGRAFIA_y_CIENCIAS_SOCIALES__6-C__planilla.xlsx</x:v>
      </x:c>
    </x:row>
    <x:row r="196">
      <x:c r="A196" t="str">
        <x:v>Lectura</x:v>
      </x:c>
      <x:c r="B196" t="str">
        <x:v>2° Ciclo</x:v>
      </x:c>
      <x:c r="C196" t="str">
        <x:v>6° Básico</x:v>
      </x:c>
      <x:c r="D196" t="str">
        <x:v>6°D</x:v>
      </x:c>
      <x:c r="E196" t="str">
        <x:v>Localizar</x:v>
      </x:c>
      <x:c r="F196" s="13" t="n">
        <x:v>54</x:v>
      </x:c>
      <x:c r="G196" t="str">
        <x:f>IF(F196&lt;50,"NL",IF(F196&lt;66.7,"PL","L"))</x:f>
        <x:v>PL</x:v>
      </x:c>
      <x:c r="H196" t="str">
        <x:v>LECTURA__6-D__planilla.xlsx</x:v>
      </x:c>
    </x:row>
    <x:row r="197">
      <x:c r="A197" t="str">
        <x:v>Lectura</x:v>
      </x:c>
      <x:c r="B197" t="str">
        <x:v>2° Ciclo</x:v>
      </x:c>
      <x:c r="C197" t="str">
        <x:v>6° Básico</x:v>
      </x:c>
      <x:c r="D197" t="str">
        <x:v>6°D</x:v>
      </x:c>
      <x:c r="E197" t="str">
        <x:v>Interpretar y relacionar</x:v>
      </x:c>
      <x:c r="F197" s="13" t="n">
        <x:v>49.2</x:v>
      </x:c>
      <x:c r="G197" t="str">
        <x:f>IF(F197&lt;50,"NL",IF(F197&lt;66.7,"PL","L"))</x:f>
        <x:v>NL</x:v>
      </x:c>
      <x:c r="H197" t="str">
        <x:v>LECTURA__6-D__planilla.xlsx</x:v>
      </x:c>
    </x:row>
    <x:row r="198">
      <x:c r="A198" t="str">
        <x:v>Lectura</x:v>
      </x:c>
      <x:c r="B198" t="str">
        <x:v>2° Ciclo</x:v>
      </x:c>
      <x:c r="C198" t="str">
        <x:v>6° Básico</x:v>
      </x:c>
      <x:c r="D198" t="str">
        <x:v>6°D</x:v>
      </x:c>
      <x:c r="E198" t="str">
        <x:v>Reflexionar</x:v>
      </x:c>
      <x:c r="F198" s="13" t="n">
        <x:v>66.9</x:v>
      </x:c>
      <x:c r="G198" t="str">
        <x:f>IF(F198&lt;50,"NL",IF(F198&lt;66.7,"PL","L"))</x:f>
        <x:v>L</x:v>
      </x:c>
      <x:c r="H198" t="str">
        <x:v>LECTURA__6-D__planilla.xlsx</x:v>
      </x:c>
    </x:row>
    <x:row r="199">
      <x:c r="A199" t="str">
        <x:v>Matemática</x:v>
      </x:c>
      <x:c r="B199" t="str">
        <x:v>2° Ciclo</x:v>
      </x:c>
      <x:c r="C199" t="str">
        <x:v>6° Básico</x:v>
      </x:c>
      <x:c r="D199" t="str">
        <x:v>6°D</x:v>
      </x:c>
      <x:c r="E199" t="str">
        <x:v>Números y operaciones</x:v>
      </x:c>
      <x:c r="F199" s="13" t="n">
        <x:v>35.3</x:v>
      </x:c>
      <x:c r="G199" t="str">
        <x:f>IF(F199&lt;50,"NL",IF(F199&lt;66.7,"PL","L"))</x:f>
        <x:v>NL</x:v>
      </x:c>
      <x:c r="H199" t="str">
        <x:v>MATEMATICA__6-D__planilla.xlsx</x:v>
      </x:c>
    </x:row>
    <x:row r="200">
      <x:c r="A200" t="str">
        <x:v>Matemática</x:v>
      </x:c>
      <x:c r="B200" t="str">
        <x:v>2° Ciclo</x:v>
      </x:c>
      <x:c r="C200" t="str">
        <x:v>6° Básico</x:v>
      </x:c>
      <x:c r="D200" t="str">
        <x:v>6°D</x:v>
      </x:c>
      <x:c r="E200" t="str">
        <x:v>Patrones y álgebra</x:v>
      </x:c>
      <x:c r="F200" s="13" t="n">
        <x:v>30</x:v>
      </x:c>
      <x:c r="G200" t="str">
        <x:f>IF(F200&lt;50,"NL",IF(F200&lt;66.7,"PL","L"))</x:f>
        <x:v>NL</x:v>
      </x:c>
      <x:c r="H200" t="str">
        <x:v>MATEMATICA__6-D__planilla.xlsx</x:v>
      </x:c>
    </x:row>
    <x:row r="201">
      <x:c r="A201" t="str">
        <x:v>Matemática</x:v>
      </x:c>
      <x:c r="B201" t="str">
        <x:v>2° Ciclo</x:v>
      </x:c>
      <x:c r="C201" t="str">
        <x:v>6° Básico</x:v>
      </x:c>
      <x:c r="D201" t="str">
        <x:v>6°D</x:v>
      </x:c>
      <x:c r="E201" t="str">
        <x:v>Geometría</x:v>
      </x:c>
      <x:c r="F201" s="13" t="n">
        <x:v>27.9</x:v>
      </x:c>
      <x:c r="G201" t="str">
        <x:f>IF(F201&lt;50,"NL",IF(F201&lt;66.7,"PL","L"))</x:f>
        <x:v>NL</x:v>
      </x:c>
      <x:c r="H201" t="str">
        <x:v>MATEMATICA__6-D__planilla.xlsx</x:v>
      </x:c>
    </x:row>
    <x:row r="202">
      <x:c r="A202" t="str">
        <x:v>Matemática</x:v>
      </x:c>
      <x:c r="B202" t="str">
        <x:v>2° Ciclo</x:v>
      </x:c>
      <x:c r="C202" t="str">
        <x:v>6° Básico</x:v>
      </x:c>
      <x:c r="D202" t="str">
        <x:v>6°D</x:v>
      </x:c>
      <x:c r="E202" t="str">
        <x:v>Medición</x:v>
      </x:c>
      <x:c r="F202" s="13" t="n">
        <x:v>29.3</x:v>
      </x:c>
      <x:c r="G202" t="str">
        <x:f>IF(F202&lt;50,"NL",IF(F202&lt;66.7,"PL","L"))</x:f>
        <x:v>NL</x:v>
      </x:c>
      <x:c r="H202" t="str">
        <x:v>MATEMATICA__6-D__planilla.xlsx</x:v>
      </x:c>
    </x:row>
    <x:row r="203">
      <x:c r="A203" t="str">
        <x:v>Matemática</x:v>
      </x:c>
      <x:c r="B203" t="str">
        <x:v>2° Ciclo</x:v>
      </x:c>
      <x:c r="C203" t="str">
        <x:v>6° Básico</x:v>
      </x:c>
      <x:c r="D203" t="str">
        <x:v>6°D</x:v>
      </x:c>
      <x:c r="E203" t="str">
        <x:v>Datos y probabilidades</x:v>
      </x:c>
      <x:c r="F203" s="13" t="n">
        <x:v>28.9</x:v>
      </x:c>
      <x:c r="G203" t="str">
        <x:f>IF(F203&lt;50,"NL",IF(F203&lt;66.7,"PL","L"))</x:f>
        <x:v>NL</x:v>
      </x:c>
      <x:c r="H203" t="str">
        <x:v>MATEMATICA__6-D__planilla.xlsx</x:v>
      </x:c>
    </x:row>
    <x:row r="204">
      <x:c r="A204" t="str">
        <x:v>Ciencias Naturales</x:v>
      </x:c>
      <x:c r="B204" t="str">
        <x:v>2° Ciclo</x:v>
      </x:c>
      <x:c r="C204" t="str">
        <x:v>6° Básico</x:v>
      </x:c>
      <x:c r="D204" t="str">
        <x:v>6°D</x:v>
      </x:c>
      <x:c r="E204" t="str">
        <x:v>Ciencias de la vida</x:v>
      </x:c>
      <x:c r="F204" s="13" t="n">
        <x:v>45.8</x:v>
      </x:c>
      <x:c r="G204" t="str">
        <x:f>IF(F204&lt;50,"NL",IF(F204&lt;66.7,"PL","L"))</x:f>
        <x:v>NL</x:v>
      </x:c>
      <x:c r="H204" t="str">
        <x:v>CIENCIAS_NATURALES__6-D__planilla.xlsx</x:v>
      </x:c>
    </x:row>
    <x:row r="205">
      <x:c r="A205" t="str">
        <x:v>Ciencias Naturales</x:v>
      </x:c>
      <x:c r="B205" t="str">
        <x:v>2° Ciclo</x:v>
      </x:c>
      <x:c r="C205" t="str">
        <x:v>6° Básico</x:v>
      </x:c>
      <x:c r="D205" t="str">
        <x:v>6°D</x:v>
      </x:c>
      <x:c r="E205" t="str">
        <x:v>Ciencias Físicas y Químicas</x:v>
      </x:c>
      <x:c r="F205" s="13" t="n">
        <x:v>33.4</x:v>
      </x:c>
      <x:c r="G205" t="str">
        <x:f>IF(F205&lt;50,"NL",IF(F205&lt;66.7,"PL","L"))</x:f>
        <x:v>NL</x:v>
      </x:c>
      <x:c r="H205" t="str">
        <x:v>CIENCIAS_NATURALES__6-D__planilla.xlsx</x:v>
      </x:c>
    </x:row>
    <x:row r="206">
      <x:c r="A206" t="str">
        <x:v>Ciencias Naturales</x:v>
      </x:c>
      <x:c r="B206" t="str">
        <x:v>2° Ciclo</x:v>
      </x:c>
      <x:c r="C206" t="str">
        <x:v>6° Básico</x:v>
      </x:c>
      <x:c r="D206" t="str">
        <x:v>6°D</x:v>
      </x:c>
      <x:c r="E206" t="str">
        <x:v>Ciencias de la Tierra y el Universo</x:v>
      </x:c>
      <x:c r="F206" s="13" t="n">
        <x:v>30.8</x:v>
      </x:c>
      <x:c r="G206" t="str">
        <x:f>IF(F206&lt;50,"NL",IF(F206&lt;66.7,"PL","L"))</x:f>
        <x:v>NL</x:v>
      </x:c>
      <x:c r="H206" t="str">
        <x:v>CIENCIAS_NATURALES__6-D__planilla.xlsx</x:v>
      </x:c>
    </x:row>
    <x:row r="207">
      <x:c r="A207" t="str">
        <x:v>Historia y Cs. Sociales</x:v>
      </x:c>
      <x:c r="B207" t="str">
        <x:v>2° Ciclo</x:v>
      </x:c>
      <x:c r="C207" t="str">
        <x:v>6° Básico</x:v>
      </x:c>
      <x:c r="D207" t="str">
        <x:v>6°D</x:v>
      </x:c>
      <x:c r="E207" t="str">
        <x:v>Historia</x:v>
      </x:c>
      <x:c r="F207" s="13" t="n">
        <x:v>28.1</x:v>
      </x:c>
      <x:c r="G207" t="str">
        <x:f>IF(F207&lt;50,"NL",IF(F207&lt;66.7,"PL","L"))</x:f>
        <x:v>NL</x:v>
      </x:c>
      <x:c r="H207" t="str">
        <x:v>HISTORIA_GEOGRAFIA_y_CIENCIAS_SOCIALES__6-D__planilla.xlsx</x:v>
      </x:c>
    </x:row>
    <x:row r="208">
      <x:c r="A208" t="str">
        <x:v>Historia y Cs. Sociales</x:v>
      </x:c>
      <x:c r="B208" t="str">
        <x:v>2° Ciclo</x:v>
      </x:c>
      <x:c r="C208" t="str">
        <x:v>6° Básico</x:v>
      </x:c>
      <x:c r="D208" t="str">
        <x:v>6°D</x:v>
      </x:c>
      <x:c r="E208" t="str">
        <x:v>Geografía</x:v>
      </x:c>
      <x:c r="F208" s="13" t="n">
        <x:v>22.9</x:v>
      </x:c>
      <x:c r="G208" t="str">
        <x:f>IF(F208&lt;50,"NL",IF(F208&lt;66.7,"PL","L"))</x:f>
        <x:v>NL</x:v>
      </x:c>
      <x:c r="H208" t="str">
        <x:v>HISTORIA_GEOGRAFIA_y_CIENCIAS_SOCIALES__6-D__planilla.xlsx</x:v>
      </x:c>
    </x:row>
    <x:row r="209">
      <x:c r="A209" t="str">
        <x:v>Historia y Cs. Sociales</x:v>
      </x:c>
      <x:c r="B209" t="str">
        <x:v>2° Ciclo</x:v>
      </x:c>
      <x:c r="C209" t="str">
        <x:v>6° Básico</x:v>
      </x:c>
      <x:c r="D209" t="str">
        <x:v>6°D</x:v>
      </x:c>
      <x:c r="E209" t="str">
        <x:v>Formación Ciudadana</x:v>
      </x:c>
      <x:c r="F209" s="13" t="n">
        <x:v>42.1</x:v>
      </x:c>
      <x:c r="G209" t="str">
        <x:f>IF(F209&lt;50,"NL",IF(F209&lt;66.7,"PL","L"))</x:f>
        <x:v>NL</x:v>
      </x:c>
      <x:c r="H209" t="str">
        <x:v>HISTORIA_GEOGRAFIA_y_CIENCIAS_SOCIALES__6-D__planilla.xlsx</x:v>
      </x:c>
    </x:row>
    <x:row r="210">
      <x:c r="A210" t="str">
        <x:v>Lectura</x:v>
      </x:c>
      <x:c r="B210" t="str">
        <x:v>2° Ciclo</x:v>
      </x:c>
      <x:c r="C210" t="str">
        <x:v>6° Básico</x:v>
      </x:c>
      <x:c r="D210" t="str">
        <x:v>6°G</x:v>
      </x:c>
      <x:c r="E210" t="str">
        <x:v>Localizar</x:v>
      </x:c>
      <x:c r="F210" s="13" t="n">
        <x:v>45.6</x:v>
      </x:c>
      <x:c r="G210" t="str">
        <x:f>IF(F210&lt;50,"NL",IF(F210&lt;66.7,"PL","L"))</x:f>
        <x:v>NL</x:v>
      </x:c>
      <x:c r="H210" t="str">
        <x:v>LECTURA__6-G__planilla.xlsx</x:v>
      </x:c>
    </x:row>
    <x:row r="211">
      <x:c r="A211" t="str">
        <x:v>Lectura</x:v>
      </x:c>
      <x:c r="B211" t="str">
        <x:v>2° Ciclo</x:v>
      </x:c>
      <x:c r="C211" t="str">
        <x:v>6° Básico</x:v>
      </x:c>
      <x:c r="D211" t="str">
        <x:v>6°G</x:v>
      </x:c>
      <x:c r="E211" t="str">
        <x:v>Interpretar y relacionar</x:v>
      </x:c>
      <x:c r="F211" s="13" t="n">
        <x:v>39.3</x:v>
      </x:c>
      <x:c r="G211" t="str">
        <x:f>IF(F211&lt;50,"NL",IF(F211&lt;66.7,"PL","L"))</x:f>
        <x:v>NL</x:v>
      </x:c>
      <x:c r="H211" t="str">
        <x:v>LECTURA__6-G__planilla.xlsx</x:v>
      </x:c>
    </x:row>
    <x:row r="212">
      <x:c r="A212" t="str">
        <x:v>Lectura</x:v>
      </x:c>
      <x:c r="B212" t="str">
        <x:v>2° Ciclo</x:v>
      </x:c>
      <x:c r="C212" t="str">
        <x:v>6° Básico</x:v>
      </x:c>
      <x:c r="D212" t="str">
        <x:v>6°G</x:v>
      </x:c>
      <x:c r="E212" t="str">
        <x:v>Reflexionar</x:v>
      </x:c>
      <x:c r="F212" s="13" t="n">
        <x:v>62.5</x:v>
      </x:c>
      <x:c r="G212" t="str">
        <x:f>IF(F212&lt;50,"NL",IF(F212&lt;66.7,"PL","L"))</x:f>
        <x:v>PL</x:v>
      </x:c>
      <x:c r="H212" t="str">
        <x:v>LECTURA__6-G__planilla.xlsx</x:v>
      </x:c>
    </x:row>
    <x:row r="213">
      <x:c r="A213" t="str">
        <x:v>Matemática</x:v>
      </x:c>
      <x:c r="B213" t="str">
        <x:v>2° Ciclo</x:v>
      </x:c>
      <x:c r="C213" t="str">
        <x:v>6° Básico</x:v>
      </x:c>
      <x:c r="D213" t="str">
        <x:v>6°G</x:v>
      </x:c>
      <x:c r="E213" t="str">
        <x:v>Números y operaciones</x:v>
      </x:c>
      <x:c r="F213" s="13" t="n">
        <x:v>26.1</x:v>
      </x:c>
      <x:c r="G213" t="str">
        <x:f>IF(F213&lt;50,"NL",IF(F213&lt;66.7,"PL","L"))</x:f>
        <x:v>NL</x:v>
      </x:c>
      <x:c r="H213" t="str">
        <x:v>MATEMATICA__6-G__planilla.xlsx</x:v>
      </x:c>
    </x:row>
    <x:row r="214">
      <x:c r="A214" t="str">
        <x:v>Matemática</x:v>
      </x:c>
      <x:c r="B214" t="str">
        <x:v>2° Ciclo</x:v>
      </x:c>
      <x:c r="C214" t="str">
        <x:v>6° Básico</x:v>
      </x:c>
      <x:c r="D214" t="str">
        <x:v>6°G</x:v>
      </x:c>
      <x:c r="E214" t="str">
        <x:v>Patrones y álgebra</x:v>
      </x:c>
      <x:c r="F214" s="13" t="n">
        <x:v>42.4</x:v>
      </x:c>
      <x:c r="G214" t="str">
        <x:f>IF(F214&lt;50,"NL",IF(F214&lt;66.7,"PL","L"))</x:f>
        <x:v>NL</x:v>
      </x:c>
      <x:c r="H214" t="str">
        <x:v>MATEMATICA__6-G__planilla.xlsx</x:v>
      </x:c>
    </x:row>
    <x:row r="215">
      <x:c r="A215" t="str">
        <x:v>Matemática</x:v>
      </x:c>
      <x:c r="B215" t="str">
        <x:v>2° Ciclo</x:v>
      </x:c>
      <x:c r="C215" t="str">
        <x:v>6° Básico</x:v>
      </x:c>
      <x:c r="D215" t="str">
        <x:v>6°G</x:v>
      </x:c>
      <x:c r="E215" t="str">
        <x:v>Geometría</x:v>
      </x:c>
      <x:c r="F215" s="13" t="n">
        <x:v>19.6</x:v>
      </x:c>
      <x:c r="G215" t="str">
        <x:f>IF(F215&lt;50,"NL",IF(F215&lt;66.7,"PL","L"))</x:f>
        <x:v>NL</x:v>
      </x:c>
      <x:c r="H215" t="str">
        <x:v>MATEMATICA__6-G__planilla.xlsx</x:v>
      </x:c>
    </x:row>
    <x:row r="216">
      <x:c r="A216" t="str">
        <x:v>Matemática</x:v>
      </x:c>
      <x:c r="B216" t="str">
        <x:v>2° Ciclo</x:v>
      </x:c>
      <x:c r="C216" t="str">
        <x:v>6° Básico</x:v>
      </x:c>
      <x:c r="D216" t="str">
        <x:v>6°G</x:v>
      </x:c>
      <x:c r="E216" t="str">
        <x:v>Medición</x:v>
      </x:c>
      <x:c r="F216" s="13" t="n">
        <x:v>24.4</x:v>
      </x:c>
      <x:c r="G216" t="str">
        <x:f>IF(F216&lt;50,"NL",IF(F216&lt;66.7,"PL","L"))</x:f>
        <x:v>NL</x:v>
      </x:c>
      <x:c r="H216" t="str">
        <x:v>MATEMATICA__6-G__planilla.xlsx</x:v>
      </x:c>
    </x:row>
    <x:row r="217">
      <x:c r="A217" t="str">
        <x:v>Matemática</x:v>
      </x:c>
      <x:c r="B217" t="str">
        <x:v>2° Ciclo</x:v>
      </x:c>
      <x:c r="C217" t="str">
        <x:v>6° Básico</x:v>
      </x:c>
      <x:c r="D217" t="str">
        <x:v>6°G</x:v>
      </x:c>
      <x:c r="E217" t="str">
        <x:v>Datos y probabilidades</x:v>
      </x:c>
      <x:c r="F217" s="13" t="n">
        <x:v>55</x:v>
      </x:c>
      <x:c r="G217" t="str">
        <x:f>IF(F217&lt;50,"NL",IF(F217&lt;66.7,"PL","L"))</x:f>
        <x:v>PL</x:v>
      </x:c>
      <x:c r="H217" t="str">
        <x:v>MATEMATICA__6-G__planilla.xlsx</x:v>
      </x:c>
    </x:row>
    <x:row r="218">
      <x:c r="A218" t="str">
        <x:v>Historia y Cs. Sociales</x:v>
      </x:c>
      <x:c r="B218" t="str">
        <x:v>2° Ciclo</x:v>
      </x:c>
      <x:c r="C218" t="str">
        <x:v>6° Básico</x:v>
      </x:c>
      <x:c r="D218" t="str">
        <x:v>6°G</x:v>
      </x:c>
      <x:c r="E218" t="str">
        <x:v>Historia</x:v>
      </x:c>
      <x:c r="F218" s="13" t="n">
        <x:v>33</x:v>
      </x:c>
      <x:c r="G218" t="str">
        <x:f>IF(F218&lt;50,"NL",IF(F218&lt;66.7,"PL","L"))</x:f>
        <x:v>NL</x:v>
      </x:c>
      <x:c r="H218" t="str">
        <x:v>HISTORIA_GEOGRAFIA_y_CIENCIAS_SOCIALES__6-G__planilla.xlsx</x:v>
      </x:c>
    </x:row>
    <x:row r="219">
      <x:c r="A219" t="str">
        <x:v>Historia y Cs. Sociales</x:v>
      </x:c>
      <x:c r="B219" t="str">
        <x:v>2° Ciclo</x:v>
      </x:c>
      <x:c r="C219" t="str">
        <x:v>6° Básico</x:v>
      </x:c>
      <x:c r="D219" t="str">
        <x:v>6°G</x:v>
      </x:c>
      <x:c r="E219" t="str">
        <x:v>Geografía</x:v>
      </x:c>
      <x:c r="F219" s="13" t="n">
        <x:v>31.9</x:v>
      </x:c>
      <x:c r="G219" t="str">
        <x:f>IF(F219&lt;50,"NL",IF(F219&lt;66.7,"PL","L"))</x:f>
        <x:v>NL</x:v>
      </x:c>
      <x:c r="H219" t="str">
        <x:v>HISTORIA_GEOGRAFIA_y_CIENCIAS_SOCIALES__6-G__planilla.xlsx</x:v>
      </x:c>
    </x:row>
    <x:row r="220">
      <x:c r="A220" t="str">
        <x:v>Historia y Cs. Sociales</x:v>
      </x:c>
      <x:c r="B220" t="str">
        <x:v>2° Ciclo</x:v>
      </x:c>
      <x:c r="C220" t="str">
        <x:v>6° Básico</x:v>
      </x:c>
      <x:c r="D220" t="str">
        <x:v>6°G</x:v>
      </x:c>
      <x:c r="E220" t="str">
        <x:v>Formación Ciudadana</x:v>
      </x:c>
      <x:c r="F220" s="13" t="n">
        <x:v>34.4</x:v>
      </x:c>
      <x:c r="G220" t="str">
        <x:f>IF(F220&lt;50,"NL",IF(F220&lt;66.7,"PL","L"))</x:f>
        <x:v>NL</x:v>
      </x:c>
      <x:c r="H220" t="str">
        <x:v>HISTORIA_GEOGRAFIA_y_CIENCIAS_SOCIALES__6-G__planilla.xlsx</x:v>
      </x:c>
    </x:row>
    <x:row r="221">
      <x:c r="A221" t="str">
        <x:v>Lectura</x:v>
      </x:c>
      <x:c r="B221" t="str">
        <x:v>2° Ciclo</x:v>
      </x:c>
      <x:c r="C221" t="str">
        <x:v>7° Básico</x:v>
      </x:c>
      <x:c r="D221" t="str">
        <x:v>7°A</x:v>
      </x:c>
      <x:c r="E221" t="str">
        <x:v>Localizar</x:v>
      </x:c>
      <x:c r="F221" s="13" t="n">
        <x:v>50</x:v>
      </x:c>
      <x:c r="G221" t="str">
        <x:f>IF(F221&lt;50,"NL",IF(F221&lt;66.7,"PL","L"))</x:f>
        <x:v>PL</x:v>
      </x:c>
      <x:c r="H221" t="str">
        <x:v>LECTURA__7-A__planilla.xlsx</x:v>
      </x:c>
    </x:row>
    <x:row r="222">
      <x:c r="A222" t="str">
        <x:v>Lectura</x:v>
      </x:c>
      <x:c r="B222" t="str">
        <x:v>2° Ciclo</x:v>
      </x:c>
      <x:c r="C222" t="str">
        <x:v>7° Básico</x:v>
      </x:c>
      <x:c r="D222" t="str">
        <x:v>7°A</x:v>
      </x:c>
      <x:c r="E222" t="str">
        <x:v>Interpretar y relacionar</x:v>
      </x:c>
      <x:c r="F222" s="13" t="n">
        <x:v>45.6</x:v>
      </x:c>
      <x:c r="G222" t="str">
        <x:f>IF(F222&lt;50,"NL",IF(F222&lt;66.7,"PL","L"))</x:f>
        <x:v>NL</x:v>
      </x:c>
      <x:c r="H222" t="str">
        <x:v>LECTURA__7-A__planilla.xlsx</x:v>
      </x:c>
    </x:row>
    <x:row r="223">
      <x:c r="A223" t="str">
        <x:v>Lectura</x:v>
      </x:c>
      <x:c r="B223" t="str">
        <x:v>2° Ciclo</x:v>
      </x:c>
      <x:c r="C223" t="str">
        <x:v>7° Básico</x:v>
      </x:c>
      <x:c r="D223" t="str">
        <x:v>7°A</x:v>
      </x:c>
      <x:c r="E223" t="str">
        <x:v>Reflexionar</x:v>
      </x:c>
      <x:c r="F223" s="13" t="n">
        <x:v>39.3</x:v>
      </x:c>
      <x:c r="G223" t="str">
        <x:f>IF(F223&lt;50,"NL",IF(F223&lt;66.7,"PL","L"))</x:f>
        <x:v>NL</x:v>
      </x:c>
      <x:c r="H223" t="str">
        <x:v>LECTURA__7-A__planilla.xlsx</x:v>
      </x:c>
    </x:row>
    <x:row r="224">
      <x:c r="A224" t="str">
        <x:v>Matemática</x:v>
      </x:c>
      <x:c r="B224" t="str">
        <x:v>2° Ciclo</x:v>
      </x:c>
      <x:c r="C224" t="str">
        <x:v>7° Básico</x:v>
      </x:c>
      <x:c r="D224" t="str">
        <x:v>7°A</x:v>
      </x:c>
      <x:c r="E224" t="str">
        <x:v>Números</x:v>
      </x:c>
      <x:c r="F224" s="13" t="n">
        <x:v>39</x:v>
      </x:c>
      <x:c r="G224" t="str">
        <x:f>IF(F224&lt;50,"NL",IF(F224&lt;66.7,"PL","L"))</x:f>
        <x:v>NL</x:v>
      </x:c>
      <x:c r="H224" t="str">
        <x:v>MATEMATICA__7-A__planilla.xlsx</x:v>
      </x:c>
    </x:row>
    <x:row r="225">
      <x:c r="A225" t="str">
        <x:v>Matemática</x:v>
      </x:c>
      <x:c r="B225" t="str">
        <x:v>2° Ciclo</x:v>
      </x:c>
      <x:c r="C225" t="str">
        <x:v>7° Básico</x:v>
      </x:c>
      <x:c r="D225" t="str">
        <x:v>7°A</x:v>
      </x:c>
      <x:c r="E225" t="str">
        <x:v>Álgebra y funciones</x:v>
      </x:c>
      <x:c r="F225" s="13" t="n">
        <x:v>33.6</x:v>
      </x:c>
      <x:c r="G225" t="str">
        <x:f>IF(F225&lt;50,"NL",IF(F225&lt;66.7,"PL","L"))</x:f>
        <x:v>NL</x:v>
      </x:c>
      <x:c r="H225" t="str">
        <x:v>MATEMATICA__7-A__planilla.xlsx</x:v>
      </x:c>
    </x:row>
    <x:row r="226">
      <x:c r="A226" t="str">
        <x:v>Matemática</x:v>
      </x:c>
      <x:c r="B226" t="str">
        <x:v>2° Ciclo</x:v>
      </x:c>
      <x:c r="C226" t="str">
        <x:v>7° Básico</x:v>
      </x:c>
      <x:c r="D226" t="str">
        <x:v>7°A</x:v>
      </x:c>
      <x:c r="E226" t="str">
        <x:v>Geometría</x:v>
      </x:c>
      <x:c r="F226" s="13" t="n">
        <x:v>28.4</x:v>
      </x:c>
      <x:c r="G226" t="str">
        <x:f>IF(F226&lt;50,"NL",IF(F226&lt;66.7,"PL","L"))</x:f>
        <x:v>NL</x:v>
      </x:c>
      <x:c r="H226" t="str">
        <x:v>MATEMATICA__7-A__planilla.xlsx</x:v>
      </x:c>
    </x:row>
    <x:row r="227">
      <x:c r="A227" t="str">
        <x:v>Matemática</x:v>
      </x:c>
      <x:c r="B227" t="str">
        <x:v>2° Ciclo</x:v>
      </x:c>
      <x:c r="C227" t="str">
        <x:v>7° Básico</x:v>
      </x:c>
      <x:c r="D227" t="str">
        <x:v>7°A</x:v>
      </x:c>
      <x:c r="E227" t="str">
        <x:v>Probabilidad y estadística</x:v>
      </x:c>
      <x:c r="F227" s="13" t="n">
        <x:v>32.8</x:v>
      </x:c>
      <x:c r="G227" t="str">
        <x:f>IF(F227&lt;50,"NL",IF(F227&lt;66.7,"PL","L"))</x:f>
        <x:v>NL</x:v>
      </x:c>
      <x:c r="H227" t="str">
        <x:v>MATEMATICA__7-A__planilla.xlsx</x:v>
      </x:c>
    </x:row>
    <x:row r="228">
      <x:c r="A228" t="str">
        <x:v>Ciencias Naturales</x:v>
      </x:c>
      <x:c r="B228" t="str">
        <x:v>2° Ciclo</x:v>
      </x:c>
      <x:c r="C228" t="str">
        <x:v>7° Básico</x:v>
      </x:c>
      <x:c r="D228" t="str">
        <x:v>7°A</x:v>
      </x:c>
      <x:c r="E228" t="str">
        <x:v>Biología</x:v>
      </x:c>
      <x:c r="F228" s="13" t="n">
        <x:v>35.3</x:v>
      </x:c>
      <x:c r="G228" t="str">
        <x:f>IF(F228&lt;50,"NL",IF(F228&lt;66.7,"PL","L"))</x:f>
        <x:v>NL</x:v>
      </x:c>
      <x:c r="H228" t="str">
        <x:v>CIENCIAS_NATURALES__7-A__planilla.xlsx</x:v>
      </x:c>
    </x:row>
    <x:row r="229">
      <x:c r="A229" t="str">
        <x:v>Ciencias Naturales</x:v>
      </x:c>
      <x:c r="B229" t="str">
        <x:v>2° Ciclo</x:v>
      </x:c>
      <x:c r="C229" t="str">
        <x:v>7° Básico</x:v>
      </x:c>
      <x:c r="D229" t="str">
        <x:v>7°A</x:v>
      </x:c>
      <x:c r="E229" t="str">
        <x:v>Física</x:v>
      </x:c>
      <x:c r="F229" s="13" t="n">
        <x:v>36.4</x:v>
      </x:c>
      <x:c r="G229" t="str">
        <x:f>IF(F229&lt;50,"NL",IF(F229&lt;66.7,"PL","L"))</x:f>
        <x:v>NL</x:v>
      </x:c>
      <x:c r="H229" t="str">
        <x:v>CIENCIAS_NATURALES__7-A__planilla.xlsx</x:v>
      </x:c>
    </x:row>
    <x:row r="230">
      <x:c r="A230" t="str">
        <x:v>Ciencias Naturales</x:v>
      </x:c>
      <x:c r="B230" t="str">
        <x:v>2° Ciclo</x:v>
      </x:c>
      <x:c r="C230" t="str">
        <x:v>7° Básico</x:v>
      </x:c>
      <x:c r="D230" t="str">
        <x:v>7°A</x:v>
      </x:c>
      <x:c r="E230" t="str">
        <x:v>Química</x:v>
      </x:c>
      <x:c r="F230" s="13" t="n">
        <x:v>42.2</x:v>
      </x:c>
      <x:c r="G230" t="str">
        <x:f>IF(F230&lt;50,"NL",IF(F230&lt;66.7,"PL","L"))</x:f>
        <x:v>NL</x:v>
      </x:c>
      <x:c r="H230" t="str">
        <x:v>CIENCIAS_NATURALES__7-A__planilla.xlsx</x:v>
      </x:c>
    </x:row>
    <x:row r="231">
      <x:c r="A231" t="str">
        <x:v>Historia y Cs. Sociales</x:v>
      </x:c>
      <x:c r="B231" t="str">
        <x:v>2° Ciclo</x:v>
      </x:c>
      <x:c r="C231" t="str">
        <x:v>7° Básico</x:v>
      </x:c>
      <x:c r="D231" t="str">
        <x:v>7°A</x:v>
      </x:c>
      <x:c r="E231" t="str">
        <x:v>Historia</x:v>
      </x:c>
      <x:c r="F231" s="13" t="n">
        <x:v>32.4</x:v>
      </x:c>
      <x:c r="G231" t="str">
        <x:f>IF(F231&lt;50,"NL",IF(F231&lt;66.7,"PL","L"))</x:f>
        <x:v>NL</x:v>
      </x:c>
      <x:c r="H231" t="str">
        <x:v>HISTORIA_GEOGRAFIA_y_CIENCIAS_SOCIALES__7-A__planilla.xlsx</x:v>
      </x:c>
    </x:row>
    <x:row r="232">
      <x:c r="A232" t="str">
        <x:v>Historia y Cs. Sociales</x:v>
      </x:c>
      <x:c r="B232" t="str">
        <x:v>2° Ciclo</x:v>
      </x:c>
      <x:c r="C232" t="str">
        <x:v>7° Básico</x:v>
      </x:c>
      <x:c r="D232" t="str">
        <x:v>7°A</x:v>
      </x:c>
      <x:c r="E232" t="str">
        <x:v>Geografía</x:v>
      </x:c>
      <x:c r="F232" s="13" t="n">
        <x:v>24</x:v>
      </x:c>
      <x:c r="G232" t="str">
        <x:f>IF(F232&lt;50,"NL",IF(F232&lt;66.7,"PL","L"))</x:f>
        <x:v>NL</x:v>
      </x:c>
      <x:c r="H232" t="str">
        <x:v>HISTORIA_GEOGRAFIA_y_CIENCIAS_SOCIALES__7-A__planilla.xlsx</x:v>
      </x:c>
    </x:row>
    <x:row r="233">
      <x:c r="A233" t="str">
        <x:v>Historia y Cs. Sociales</x:v>
      </x:c>
      <x:c r="B233" t="str">
        <x:v>2° Ciclo</x:v>
      </x:c>
      <x:c r="C233" t="str">
        <x:v>7° Básico</x:v>
      </x:c>
      <x:c r="D233" t="str">
        <x:v>7°A</x:v>
      </x:c>
      <x:c r="E233" t="str">
        <x:v>Formación Ciudadana</x:v>
      </x:c>
      <x:c r="F233" s="13" t="n">
        <x:v>23.4</x:v>
      </x:c>
      <x:c r="G233" t="str">
        <x:f>IF(F233&lt;50,"NL",IF(F233&lt;66.7,"PL","L"))</x:f>
        <x:v>NL</x:v>
      </x:c>
      <x:c r="H233" t="str">
        <x:v>HISTORIA_GEOGRAFIA_y_CIENCIAS_SOCIALES__7-A__planilla.xlsx</x:v>
      </x:c>
    </x:row>
    <x:row r="234">
      <x:c r="A234" t="str">
        <x:v>Lectura</x:v>
      </x:c>
      <x:c r="B234" t="str">
        <x:v>2° Ciclo</x:v>
      </x:c>
      <x:c r="C234" t="str">
        <x:v>7° Básico</x:v>
      </x:c>
      <x:c r="D234" t="str">
        <x:v>7°B</x:v>
      </x:c>
      <x:c r="E234" t="str">
        <x:v>Localizar</x:v>
      </x:c>
      <x:c r="F234" s="13" t="n">
        <x:v>57.8</x:v>
      </x:c>
      <x:c r="G234" t="str">
        <x:f>IF(F234&lt;50,"NL",IF(F234&lt;66.7,"PL","L"))</x:f>
        <x:v>PL</x:v>
      </x:c>
      <x:c r="H234" t="str">
        <x:v>LECTURA__7-B__planilla.xlsx</x:v>
      </x:c>
    </x:row>
    <x:row r="235">
      <x:c r="A235" t="str">
        <x:v>Lectura</x:v>
      </x:c>
      <x:c r="B235" t="str">
        <x:v>2° Ciclo</x:v>
      </x:c>
      <x:c r="C235" t="str">
        <x:v>7° Básico</x:v>
      </x:c>
      <x:c r="D235" t="str">
        <x:v>7°B</x:v>
      </x:c>
      <x:c r="E235" t="str">
        <x:v>Interpretar y relacionar</x:v>
      </x:c>
      <x:c r="F235" s="13" t="n">
        <x:v>56.1</x:v>
      </x:c>
      <x:c r="G235" t="str">
        <x:f>IF(F235&lt;50,"NL",IF(F235&lt;66.7,"PL","L"))</x:f>
        <x:v>PL</x:v>
      </x:c>
      <x:c r="H235" t="str">
        <x:v>LECTURA__7-B__planilla.xlsx</x:v>
      </x:c>
    </x:row>
    <x:row r="236">
      <x:c r="A236" t="str">
        <x:v>Lectura</x:v>
      </x:c>
      <x:c r="B236" t="str">
        <x:v>2° Ciclo</x:v>
      </x:c>
      <x:c r="C236" t="str">
        <x:v>7° Básico</x:v>
      </x:c>
      <x:c r="D236" t="str">
        <x:v>7°B</x:v>
      </x:c>
      <x:c r="E236" t="str">
        <x:v>Reflexionar</x:v>
      </x:c>
      <x:c r="F236" s="13" t="n">
        <x:v>37.7</x:v>
      </x:c>
      <x:c r="G236" t="str">
        <x:f>IF(F236&lt;50,"NL",IF(F236&lt;66.7,"PL","L"))</x:f>
        <x:v>NL</x:v>
      </x:c>
      <x:c r="H236" t="str">
        <x:v>LECTURA__7-B__planilla.xlsx</x:v>
      </x:c>
    </x:row>
    <x:row r="237">
      <x:c r="A237" t="str">
        <x:v>Matemática</x:v>
      </x:c>
      <x:c r="B237" t="str">
        <x:v>2° Ciclo</x:v>
      </x:c>
      <x:c r="C237" t="str">
        <x:v>7° Básico</x:v>
      </x:c>
      <x:c r="D237" t="str">
        <x:v>7°B</x:v>
      </x:c>
      <x:c r="E237" t="str">
        <x:v>Números</x:v>
      </x:c>
      <x:c r="F237" s="13" t="n">
        <x:v>39.4</x:v>
      </x:c>
      <x:c r="G237" t="str">
        <x:f>IF(F237&lt;50,"NL",IF(F237&lt;66.7,"PL","L"))</x:f>
        <x:v>NL</x:v>
      </x:c>
      <x:c r="H237" t="str">
        <x:v>MATEMATICA__7-B__planilla.xlsx</x:v>
      </x:c>
    </x:row>
    <x:row r="238">
      <x:c r="A238" t="str">
        <x:v>Matemática</x:v>
      </x:c>
      <x:c r="B238" t="str">
        <x:v>2° Ciclo</x:v>
      </x:c>
      <x:c r="C238" t="str">
        <x:v>7° Básico</x:v>
      </x:c>
      <x:c r="D238" t="str">
        <x:v>7°B</x:v>
      </x:c>
      <x:c r="E238" t="str">
        <x:v>Álgebra y funciones</x:v>
      </x:c>
      <x:c r="F238" s="13" t="n">
        <x:v>39.9</x:v>
      </x:c>
      <x:c r="G238" t="str">
        <x:f>IF(F238&lt;50,"NL",IF(F238&lt;66.7,"PL","L"))</x:f>
        <x:v>NL</x:v>
      </x:c>
      <x:c r="H238" t="str">
        <x:v>MATEMATICA__7-B__planilla.xlsx</x:v>
      </x:c>
    </x:row>
    <x:row r="239">
      <x:c r="A239" t="str">
        <x:v>Matemática</x:v>
      </x:c>
      <x:c r="B239" t="str">
        <x:v>2° Ciclo</x:v>
      </x:c>
      <x:c r="C239" t="str">
        <x:v>7° Básico</x:v>
      </x:c>
      <x:c r="D239" t="str">
        <x:v>7°B</x:v>
      </x:c>
      <x:c r="E239" t="str">
        <x:v>Geometría</x:v>
      </x:c>
      <x:c r="F239" s="13" t="n">
        <x:v>9</x:v>
      </x:c>
      <x:c r="G239" t="str">
        <x:f>IF(F239&lt;50,"NL",IF(F239&lt;66.7,"PL","L"))</x:f>
        <x:v>NL</x:v>
      </x:c>
      <x:c r="H239" t="str">
        <x:v>MATEMATICA__7-B__planilla.xlsx</x:v>
      </x:c>
    </x:row>
    <x:row r="240">
      <x:c r="A240" t="str">
        <x:v>Matemática</x:v>
      </x:c>
      <x:c r="B240" t="str">
        <x:v>2° Ciclo</x:v>
      </x:c>
      <x:c r="C240" t="str">
        <x:v>7° Básico</x:v>
      </x:c>
      <x:c r="D240" t="str">
        <x:v>7°B</x:v>
      </x:c>
      <x:c r="E240" t="str">
        <x:v>Probabilidad y estadística</x:v>
      </x:c>
      <x:c r="F240" s="13" t="n">
        <x:v>44</x:v>
      </x:c>
      <x:c r="G240" t="str">
        <x:f>IF(F240&lt;50,"NL",IF(F240&lt;66.7,"PL","L"))</x:f>
        <x:v>NL</x:v>
      </x:c>
      <x:c r="H240" t="str">
        <x:v>MATEMATICA__7-B__planilla.xlsx</x:v>
      </x:c>
    </x:row>
    <x:row r="241">
      <x:c r="A241" t="str">
        <x:v>Ciencias Naturales</x:v>
      </x:c>
      <x:c r="B241" t="str">
        <x:v>2° Ciclo</x:v>
      </x:c>
      <x:c r="C241" t="str">
        <x:v>7° Básico</x:v>
      </x:c>
      <x:c r="D241" t="str">
        <x:v>7°B</x:v>
      </x:c>
      <x:c r="E241" t="str">
        <x:v>Biología</x:v>
      </x:c>
      <x:c r="F241" s="13" t="n">
        <x:v>33.6</x:v>
      </x:c>
      <x:c r="G241" t="str">
        <x:f>IF(F241&lt;50,"NL",IF(F241&lt;66.7,"PL","L"))</x:f>
        <x:v>NL</x:v>
      </x:c>
      <x:c r="H241" t="str">
        <x:v>CIENCIAS_NATURALES__7-B__planilla.xlsx</x:v>
      </x:c>
    </x:row>
    <x:row r="242">
      <x:c r="A242" t="str">
        <x:v>Ciencias Naturales</x:v>
      </x:c>
      <x:c r="B242" t="str">
        <x:v>2° Ciclo</x:v>
      </x:c>
      <x:c r="C242" t="str">
        <x:v>7° Básico</x:v>
      </x:c>
      <x:c r="D242" t="str">
        <x:v>7°B</x:v>
      </x:c>
      <x:c r="E242" t="str">
        <x:v>Física</x:v>
      </x:c>
      <x:c r="F242" s="13" t="n">
        <x:v>33</x:v>
      </x:c>
      <x:c r="G242" t="str">
        <x:f>IF(F242&lt;50,"NL",IF(F242&lt;66.7,"PL","L"))</x:f>
        <x:v>NL</x:v>
      </x:c>
      <x:c r="H242" t="str">
        <x:v>CIENCIAS_NATURALES__7-B__planilla.xlsx</x:v>
      </x:c>
    </x:row>
    <x:row r="243">
      <x:c r="A243" t="str">
        <x:v>Ciencias Naturales</x:v>
      </x:c>
      <x:c r="B243" t="str">
        <x:v>2° Ciclo</x:v>
      </x:c>
      <x:c r="C243" t="str">
        <x:v>7° Básico</x:v>
      </x:c>
      <x:c r="D243" t="str">
        <x:v>7°B</x:v>
      </x:c>
      <x:c r="E243" t="str">
        <x:v>Química</x:v>
      </x:c>
      <x:c r="F243" s="13" t="n">
        <x:v>36.1</x:v>
      </x:c>
      <x:c r="G243" t="str">
        <x:f>IF(F243&lt;50,"NL",IF(F243&lt;66.7,"PL","L"))</x:f>
        <x:v>NL</x:v>
      </x:c>
      <x:c r="H243" t="str">
        <x:v>CIENCIAS_NATURALES__7-B__planilla.xlsx</x:v>
      </x:c>
    </x:row>
    <x:row r="244">
      <x:c r="A244" t="str">
        <x:v>Historia y Cs. Sociales</x:v>
      </x:c>
      <x:c r="B244" t="str">
        <x:v>2° Ciclo</x:v>
      </x:c>
      <x:c r="C244" t="str">
        <x:v>7° Básico</x:v>
      </x:c>
      <x:c r="D244" t="str">
        <x:v>7°B</x:v>
      </x:c>
      <x:c r="E244" t="str">
        <x:v>Historia</x:v>
      </x:c>
      <x:c r="F244" s="13" t="n">
        <x:v>43.3</x:v>
      </x:c>
      <x:c r="G244" t="str">
        <x:f>IF(F244&lt;50,"NL",IF(F244&lt;66.7,"PL","L"))</x:f>
        <x:v>NL</x:v>
      </x:c>
      <x:c r="H244" t="str">
        <x:v>HISTORIA_GEOGRAFIA_y_CIENCIAS_SOCIALES__7-B__planilla.xlsx</x:v>
      </x:c>
    </x:row>
    <x:row r="245">
      <x:c r="A245" t="str">
        <x:v>Historia y Cs. Sociales</x:v>
      </x:c>
      <x:c r="B245" t="str">
        <x:v>2° Ciclo</x:v>
      </x:c>
      <x:c r="C245" t="str">
        <x:v>7° Básico</x:v>
      </x:c>
      <x:c r="D245" t="str">
        <x:v>7°B</x:v>
      </x:c>
      <x:c r="E245" t="str">
        <x:v>Geografía</x:v>
      </x:c>
      <x:c r="F245" s="13" t="n">
        <x:v>39.5</x:v>
      </x:c>
      <x:c r="G245" t="str">
        <x:f>IF(F245&lt;50,"NL",IF(F245&lt;66.7,"PL","L"))</x:f>
        <x:v>NL</x:v>
      </x:c>
      <x:c r="H245" t="str">
        <x:v>HISTORIA_GEOGRAFIA_y_CIENCIAS_SOCIALES__7-B__planilla.xlsx</x:v>
      </x:c>
    </x:row>
    <x:row r="246">
      <x:c r="A246" t="str">
        <x:v>Historia y Cs. Sociales</x:v>
      </x:c>
      <x:c r="B246" t="str">
        <x:v>2° Ciclo</x:v>
      </x:c>
      <x:c r="C246" t="str">
        <x:v>7° Básico</x:v>
      </x:c>
      <x:c r="D246" t="str">
        <x:v>7°B</x:v>
      </x:c>
      <x:c r="E246" t="str">
        <x:v>Formación Ciudadana</x:v>
      </x:c>
      <x:c r="F246" s="13" t="n">
        <x:v>33.5</x:v>
      </x:c>
      <x:c r="G246" t="str">
        <x:f>IF(F246&lt;50,"NL",IF(F246&lt;66.7,"PL","L"))</x:f>
        <x:v>NL</x:v>
      </x:c>
      <x:c r="H246" t="str">
        <x:v>HISTORIA_GEOGRAFIA_y_CIENCIAS_SOCIALES__7-B__planilla.xlsx</x:v>
      </x:c>
    </x:row>
    <x:row r="247">
      <x:c r="A247" t="str">
        <x:v>Lectura</x:v>
      </x:c>
      <x:c r="B247" t="str">
        <x:v>2° Ciclo</x:v>
      </x:c>
      <x:c r="C247" t="str">
        <x:v>7° Básico</x:v>
      </x:c>
      <x:c r="D247" t="str">
        <x:v>7°C</x:v>
      </x:c>
      <x:c r="E247" t="str">
        <x:v>Localizar</x:v>
      </x:c>
      <x:c r="F247" s="13" t="n">
        <x:v>73.4</x:v>
      </x:c>
      <x:c r="G247" t="str">
        <x:f>IF(F247&lt;50,"NL",IF(F247&lt;66.7,"PL","L"))</x:f>
        <x:v>L</x:v>
      </x:c>
      <x:c r="H247" t="str">
        <x:v>LECTURA__7-C__planilla.xlsx</x:v>
      </x:c>
    </x:row>
    <x:row r="248">
      <x:c r="A248" t="str">
        <x:v>Lectura</x:v>
      </x:c>
      <x:c r="B248" t="str">
        <x:v>2° Ciclo</x:v>
      </x:c>
      <x:c r="C248" t="str">
        <x:v>7° Básico</x:v>
      </x:c>
      <x:c r="D248" t="str">
        <x:v>7°C</x:v>
      </x:c>
      <x:c r="E248" t="str">
        <x:v>Interpretar y relacionar</x:v>
      </x:c>
      <x:c r="F248" s="13" t="n">
        <x:v>61.3</x:v>
      </x:c>
      <x:c r="G248" t="str">
        <x:f>IF(F248&lt;50,"NL",IF(F248&lt;66.7,"PL","L"))</x:f>
        <x:v>PL</x:v>
      </x:c>
      <x:c r="H248" t="str">
        <x:v>LECTURA__7-C__planilla.xlsx</x:v>
      </x:c>
    </x:row>
    <x:row r="249">
      <x:c r="A249" t="str">
        <x:v>Lectura</x:v>
      </x:c>
      <x:c r="B249" t="str">
        <x:v>2° Ciclo</x:v>
      </x:c>
      <x:c r="C249" t="str">
        <x:v>7° Básico</x:v>
      </x:c>
      <x:c r="D249" t="str">
        <x:v>7°C</x:v>
      </x:c>
      <x:c r="E249" t="str">
        <x:v>Reflexionar</x:v>
      </x:c>
      <x:c r="F249" s="13" t="n">
        <x:v>51.8</x:v>
      </x:c>
      <x:c r="G249" t="str">
        <x:f>IF(F249&lt;50,"NL",IF(F249&lt;66.7,"PL","L"))</x:f>
        <x:v>PL</x:v>
      </x:c>
      <x:c r="H249" t="str">
        <x:v>LECTURA__7-C__planilla.xlsx</x:v>
      </x:c>
    </x:row>
    <x:row r="250">
      <x:c r="A250" t="str">
        <x:v>Ciencias Naturales</x:v>
      </x:c>
      <x:c r="B250" t="str">
        <x:v>2° Ciclo</x:v>
      </x:c>
      <x:c r="C250" t="str">
        <x:v>7° Básico</x:v>
      </x:c>
      <x:c r="D250" t="str">
        <x:v>7°C</x:v>
      </x:c>
      <x:c r="E250" t="str">
        <x:v>Biología</x:v>
      </x:c>
      <x:c r="F250" s="13" t="n">
        <x:v>38.9</x:v>
      </x:c>
      <x:c r="G250" t="str">
        <x:f>IF(F250&lt;50,"NL",IF(F250&lt;66.7,"PL","L"))</x:f>
        <x:v>NL</x:v>
      </x:c>
      <x:c r="H250" t="str">
        <x:v>CIENCIAS_NATURALES__7-C__planilla.xlsx</x:v>
      </x:c>
    </x:row>
    <x:row r="251">
      <x:c r="A251" t="str">
        <x:v>Ciencias Naturales</x:v>
      </x:c>
      <x:c r="B251" t="str">
        <x:v>2° Ciclo</x:v>
      </x:c>
      <x:c r="C251" t="str">
        <x:v>7° Básico</x:v>
      </x:c>
      <x:c r="D251" t="str">
        <x:v>7°C</x:v>
      </x:c>
      <x:c r="E251" t="str">
        <x:v>Física</x:v>
      </x:c>
      <x:c r="F251" s="13" t="n">
        <x:v>41.4</x:v>
      </x:c>
      <x:c r="G251" t="str">
        <x:f>IF(F251&lt;50,"NL",IF(F251&lt;66.7,"PL","L"))</x:f>
        <x:v>NL</x:v>
      </x:c>
      <x:c r="H251" t="str">
        <x:v>CIENCIAS_NATURALES__7-C__planilla.xlsx</x:v>
      </x:c>
    </x:row>
    <x:row r="252">
      <x:c r="A252" t="str">
        <x:v>Ciencias Naturales</x:v>
      </x:c>
      <x:c r="B252" t="str">
        <x:v>2° Ciclo</x:v>
      </x:c>
      <x:c r="C252" t="str">
        <x:v>7° Básico</x:v>
      </x:c>
      <x:c r="D252" t="str">
        <x:v>7°C</x:v>
      </x:c>
      <x:c r="E252" t="str">
        <x:v>Química</x:v>
      </x:c>
      <x:c r="F252" s="13" t="n">
        <x:v>47.7</x:v>
      </x:c>
      <x:c r="G252" t="str">
        <x:f>IF(F252&lt;50,"NL",IF(F252&lt;66.7,"PL","L"))</x:f>
        <x:v>NL</x:v>
      </x:c>
      <x:c r="H252" t="str">
        <x:v>CIENCIAS_NATURALES__7-C__planilla.xlsx</x:v>
      </x:c>
    </x:row>
    <x:row r="253">
      <x:c r="A253" t="str">
        <x:v>Historia y Cs. Sociales</x:v>
      </x:c>
      <x:c r="B253" t="str">
        <x:v>2° Ciclo</x:v>
      </x:c>
      <x:c r="C253" t="str">
        <x:v>7° Básico</x:v>
      </x:c>
      <x:c r="D253" t="str">
        <x:v>7°C</x:v>
      </x:c>
      <x:c r="E253" t="str">
        <x:v>Historia</x:v>
      </x:c>
      <x:c r="F253" s="13" t="n">
        <x:v>58.4</x:v>
      </x:c>
      <x:c r="G253" t="str">
        <x:f>IF(F253&lt;50,"NL",IF(F253&lt;66.7,"PL","L"))</x:f>
        <x:v>PL</x:v>
      </x:c>
      <x:c r="H253" t="str">
        <x:v>HISTORIA_GEOGRAFIA_y_CIENCIAS_SOCIALES__7-C__planilla.xlsx</x:v>
      </x:c>
    </x:row>
    <x:row r="254">
      <x:c r="A254" t="str">
        <x:v>Historia y Cs. Sociales</x:v>
      </x:c>
      <x:c r="B254" t="str">
        <x:v>2° Ciclo</x:v>
      </x:c>
      <x:c r="C254" t="str">
        <x:v>7° Básico</x:v>
      </x:c>
      <x:c r="D254" t="str">
        <x:v>7°C</x:v>
      </x:c>
      <x:c r="E254" t="str">
        <x:v>Geografía</x:v>
      </x:c>
      <x:c r="F254" s="13" t="n">
        <x:v>64.3</x:v>
      </x:c>
      <x:c r="G254" t="str">
        <x:f>IF(F254&lt;50,"NL",IF(F254&lt;66.7,"PL","L"))</x:f>
        <x:v>PL</x:v>
      </x:c>
      <x:c r="H254" t="str">
        <x:v>HISTORIA_GEOGRAFIA_y_CIENCIAS_SOCIALES__7-C__planilla.xlsx</x:v>
      </x:c>
    </x:row>
    <x:row r="255">
      <x:c r="A255" t="str">
        <x:v>Historia y Cs. Sociales</x:v>
      </x:c>
      <x:c r="B255" t="str">
        <x:v>2° Ciclo</x:v>
      </x:c>
      <x:c r="C255" t="str">
        <x:v>7° Básico</x:v>
      </x:c>
      <x:c r="D255" t="str">
        <x:v>7°C</x:v>
      </x:c>
      <x:c r="E255" t="str">
        <x:v>Formación Ciudadana</x:v>
      </x:c>
      <x:c r="F255" s="13" t="n">
        <x:v>68.8</x:v>
      </x:c>
      <x:c r="G255" t="str">
        <x:f>IF(F255&lt;50,"NL",IF(F255&lt;66.7,"PL","L"))</x:f>
        <x:v>L</x:v>
      </x:c>
      <x:c r="H255" t="str">
        <x:v>HISTORIA_GEOGRAFIA_y_CIENCIAS_SOCIALES__7-C__planilla.xlsx</x:v>
      </x:c>
    </x:row>
    <x:row r="256">
      <x:c r="A256" t="str">
        <x:v>Lectura</x:v>
      </x:c>
      <x:c r="B256" t="str">
        <x:v>2° Ciclo</x:v>
      </x:c>
      <x:c r="C256" t="str">
        <x:v>7° Básico</x:v>
      </x:c>
      <x:c r="D256" t="str">
        <x:v>7°D</x:v>
      </x:c>
      <x:c r="E256" t="str">
        <x:v>Localizar</x:v>
      </x:c>
      <x:c r="F256" s="13" t="n">
        <x:v>60.5</x:v>
      </x:c>
      <x:c r="G256" t="str">
        <x:f>IF(F256&lt;50,"NL",IF(F256&lt;66.7,"PL","L"))</x:f>
        <x:v>PL</x:v>
      </x:c>
      <x:c r="H256" t="str">
        <x:v>LECTURA__7-D__planilla.xlsx</x:v>
      </x:c>
    </x:row>
    <x:row r="257">
      <x:c r="A257" t="str">
        <x:v>Lectura</x:v>
      </x:c>
      <x:c r="B257" t="str">
        <x:v>2° Ciclo</x:v>
      </x:c>
      <x:c r="C257" t="str">
        <x:v>7° Básico</x:v>
      </x:c>
      <x:c r="D257" t="str">
        <x:v>7°D</x:v>
      </x:c>
      <x:c r="E257" t="str">
        <x:v>Interpretar y relacionar</x:v>
      </x:c>
      <x:c r="F257" s="13" t="n">
        <x:v>51.3</x:v>
      </x:c>
      <x:c r="G257" t="str">
        <x:f>IF(F257&lt;50,"NL",IF(F257&lt;66.7,"PL","L"))</x:f>
        <x:v>PL</x:v>
      </x:c>
      <x:c r="H257" t="str">
        <x:v>LECTURA__7-D__planilla.xlsx</x:v>
      </x:c>
    </x:row>
    <x:row r="258">
      <x:c r="A258" t="str">
        <x:v>Lectura</x:v>
      </x:c>
      <x:c r="B258" t="str">
        <x:v>2° Ciclo</x:v>
      </x:c>
      <x:c r="C258" t="str">
        <x:v>7° Básico</x:v>
      </x:c>
      <x:c r="D258" t="str">
        <x:v>7°D</x:v>
      </x:c>
      <x:c r="E258" t="str">
        <x:v>Reflexionar</x:v>
      </x:c>
      <x:c r="F258" s="13" t="n">
        <x:v>41.9</x:v>
      </x:c>
      <x:c r="G258" t="str">
        <x:f>IF(F258&lt;50,"NL",IF(F258&lt;66.7,"PL","L"))</x:f>
        <x:v>NL</x:v>
      </x:c>
      <x:c r="H258" t="str">
        <x:v>LECTURA__7-D__planilla.xlsx</x:v>
      </x:c>
    </x:row>
    <x:row r="259">
      <x:c r="A259" t="str">
        <x:v>Ciencias Naturales</x:v>
      </x:c>
      <x:c r="B259" t="str">
        <x:v>2° Ciclo</x:v>
      </x:c>
      <x:c r="C259" t="str">
        <x:v>7° Básico</x:v>
      </x:c>
      <x:c r="D259" t="str">
        <x:v>7°D</x:v>
      </x:c>
      <x:c r="E259" t="str">
        <x:v>Biología</x:v>
      </x:c>
      <x:c r="F259" s="13" t="n">
        <x:v>34.6</x:v>
      </x:c>
      <x:c r="G259" t="str">
        <x:f>IF(F259&lt;50,"NL",IF(F259&lt;66.7,"PL","L"))</x:f>
        <x:v>NL</x:v>
      </x:c>
      <x:c r="H259" t="str">
        <x:v>CIENCIAS_NATURALES__7-D__planilla.xlsx</x:v>
      </x:c>
    </x:row>
    <x:row r="260">
      <x:c r="A260" t="str">
        <x:v>Ciencias Naturales</x:v>
      </x:c>
      <x:c r="B260" t="str">
        <x:v>2° Ciclo</x:v>
      </x:c>
      <x:c r="C260" t="str">
        <x:v>7° Básico</x:v>
      </x:c>
      <x:c r="D260" t="str">
        <x:v>7°D</x:v>
      </x:c>
      <x:c r="E260" t="str">
        <x:v>Física</x:v>
      </x:c>
      <x:c r="F260" s="13" t="n">
        <x:v>32.8</x:v>
      </x:c>
      <x:c r="G260" t="str">
        <x:f>IF(F260&lt;50,"NL",IF(F260&lt;66.7,"PL","L"))</x:f>
        <x:v>NL</x:v>
      </x:c>
      <x:c r="H260" t="str">
        <x:v>CIENCIAS_NATURALES__7-D__planilla.xlsx</x:v>
      </x:c>
    </x:row>
    <x:row r="261">
      <x:c r="A261" t="str">
        <x:v>Ciencias Naturales</x:v>
      </x:c>
      <x:c r="B261" t="str">
        <x:v>2° Ciclo</x:v>
      </x:c>
      <x:c r="C261" t="str">
        <x:v>7° Básico</x:v>
      </x:c>
      <x:c r="D261" t="str">
        <x:v>7°D</x:v>
      </x:c>
      <x:c r="E261" t="str">
        <x:v>Química</x:v>
      </x:c>
      <x:c r="F261" s="13" t="n">
        <x:v>37.1</x:v>
      </x:c>
      <x:c r="G261" t="str">
        <x:f>IF(F261&lt;50,"NL",IF(F261&lt;66.7,"PL","L"))</x:f>
        <x:v>NL</x:v>
      </x:c>
      <x:c r="H261" t="str">
        <x:v>CIENCIAS_NATURALES__7-D__planilla.xlsx</x:v>
      </x:c>
    </x:row>
    <x:row r="262">
      <x:c r="A262" t="str">
        <x:v>Historia y Cs. Sociales</x:v>
      </x:c>
      <x:c r="B262" t="str">
        <x:v>2° Ciclo</x:v>
      </x:c>
      <x:c r="C262" t="str">
        <x:v>7° Básico</x:v>
      </x:c>
      <x:c r="D262" t="str">
        <x:v>7°D</x:v>
      </x:c>
      <x:c r="E262" t="str">
        <x:v>Historia</x:v>
      </x:c>
      <x:c r="F262" s="13" t="n">
        <x:v>51.1</x:v>
      </x:c>
      <x:c r="G262" t="str">
        <x:f>IF(F262&lt;50,"NL",IF(F262&lt;66.7,"PL","L"))</x:f>
        <x:v>PL</x:v>
      </x:c>
      <x:c r="H262" t="str">
        <x:v>HISTORIA_GEOGRAFIA_y_CIENCIAS_SOCIALES__7-D__planilla.xlsx</x:v>
      </x:c>
    </x:row>
    <x:row r="263">
      <x:c r="A263" t="str">
        <x:v>Historia y Cs. Sociales</x:v>
      </x:c>
      <x:c r="B263" t="str">
        <x:v>2° Ciclo</x:v>
      </x:c>
      <x:c r="C263" t="str">
        <x:v>7° Básico</x:v>
      </x:c>
      <x:c r="D263" t="str">
        <x:v>7°D</x:v>
      </x:c>
      <x:c r="E263" t="str">
        <x:v>Geografía</x:v>
      </x:c>
      <x:c r="F263" s="13" t="n">
        <x:v>44.6</x:v>
      </x:c>
      <x:c r="G263" t="str">
        <x:f>IF(F263&lt;50,"NL",IF(F263&lt;66.7,"PL","L"))</x:f>
        <x:v>NL</x:v>
      </x:c>
      <x:c r="H263" t="str">
        <x:v>HISTORIA_GEOGRAFIA_y_CIENCIAS_SOCIALES__7-D__planilla.xlsx</x:v>
      </x:c>
    </x:row>
    <x:row r="264">
      <x:c r="A264" t="str">
        <x:v>Historia y Cs. Sociales</x:v>
      </x:c>
      <x:c r="B264" t="str">
        <x:v>2° Ciclo</x:v>
      </x:c>
      <x:c r="C264" t="str">
        <x:v>7° Básico</x:v>
      </x:c>
      <x:c r="D264" t="str">
        <x:v>7°D</x:v>
      </x:c>
      <x:c r="E264" t="str">
        <x:v>Formación Ciudadana</x:v>
      </x:c>
      <x:c r="F264" s="13" t="n">
        <x:v>41.5</x:v>
      </x:c>
      <x:c r="G264" t="str">
        <x:f>IF(F264&lt;50,"NL",IF(F264&lt;66.7,"PL","L"))</x:f>
        <x:v>NL</x:v>
      </x:c>
      <x:c r="H264" t="str">
        <x:v>HISTORIA_GEOGRAFIA_y_CIENCIAS_SOCIALES__7-D__planilla.xlsx</x:v>
      </x:c>
    </x:row>
    <x:row r="265">
      <x:c r="A265" t="str">
        <x:v>Lectura</x:v>
      </x:c>
      <x:c r="B265" t="str">
        <x:v>2° Ciclo</x:v>
      </x:c>
      <x:c r="C265" t="str">
        <x:v>8° Básico</x:v>
      </x:c>
      <x:c r="D265" t="str">
        <x:v>8°A</x:v>
      </x:c>
      <x:c r="E265" t="str">
        <x:v>Localizar</x:v>
      </x:c>
      <x:c r="F265" s="13" t="n">
        <x:v>42.7</x:v>
      </x:c>
      <x:c r="G265" t="str">
        <x:f>IF(F265&lt;50,"NL",IF(F265&lt;66.7,"PL","L"))</x:f>
        <x:v>NL</x:v>
      </x:c>
      <x:c r="H265" t="str">
        <x:v>LECTURA__8-A__planilla.xlsx</x:v>
      </x:c>
    </x:row>
    <x:row r="266">
      <x:c r="A266" t="str">
        <x:v>Lectura</x:v>
      </x:c>
      <x:c r="B266" t="str">
        <x:v>2° Ciclo</x:v>
      </x:c>
      <x:c r="C266" t="str">
        <x:v>8° Básico</x:v>
      </x:c>
      <x:c r="D266" t="str">
        <x:v>8°A</x:v>
      </x:c>
      <x:c r="E266" t="str">
        <x:v>Interpretar y relacionar</x:v>
      </x:c>
      <x:c r="F266" s="13" t="n">
        <x:v>47.5</x:v>
      </x:c>
      <x:c r="G266" t="str">
        <x:f>IF(F266&lt;50,"NL",IF(F266&lt;66.7,"PL","L"))</x:f>
        <x:v>NL</x:v>
      </x:c>
      <x:c r="H266" t="str">
        <x:v>LECTURA__8-A__planilla.xlsx</x:v>
      </x:c>
    </x:row>
    <x:row r="267">
      <x:c r="A267" t="str">
        <x:v>Lectura</x:v>
      </x:c>
      <x:c r="B267" t="str">
        <x:v>2° Ciclo</x:v>
      </x:c>
      <x:c r="C267" t="str">
        <x:v>8° Básico</x:v>
      </x:c>
      <x:c r="D267" t="str">
        <x:v>8°A</x:v>
      </x:c>
      <x:c r="E267" t="str">
        <x:v>Reflexionar</x:v>
      </x:c>
      <x:c r="F267" s="13" t="n">
        <x:v>32.5</x:v>
      </x:c>
      <x:c r="G267" t="str">
        <x:f>IF(F267&lt;50,"NL",IF(F267&lt;66.7,"PL","L"))</x:f>
        <x:v>NL</x:v>
      </x:c>
      <x:c r="H267" t="str">
        <x:v>LECTURA__8-A__planilla.xlsx</x:v>
      </x:c>
    </x:row>
    <x:row r="268">
      <x:c r="A268" t="str">
        <x:v>Matemática</x:v>
      </x:c>
      <x:c r="B268" t="str">
        <x:v>2° Ciclo</x:v>
      </x:c>
      <x:c r="C268" t="str">
        <x:v>8° Básico</x:v>
      </x:c>
      <x:c r="D268" t="str">
        <x:v>8°A</x:v>
      </x:c>
      <x:c r="E268" t="str">
        <x:v>Números</x:v>
      </x:c>
      <x:c r="F268" s="13" t="n">
        <x:v>32</x:v>
      </x:c>
      <x:c r="G268" t="str">
        <x:f>IF(F268&lt;50,"NL",IF(F268&lt;66.7,"PL","L"))</x:f>
        <x:v>NL</x:v>
      </x:c>
      <x:c r="H268" t="str">
        <x:v>MATEMATICA__8-A__planilla.xlsx</x:v>
      </x:c>
    </x:row>
    <x:row r="269">
      <x:c r="A269" t="str">
        <x:v>Matemática</x:v>
      </x:c>
      <x:c r="B269" t="str">
        <x:v>2° Ciclo</x:v>
      </x:c>
      <x:c r="C269" t="str">
        <x:v>8° Básico</x:v>
      </x:c>
      <x:c r="D269" t="str">
        <x:v>8°A</x:v>
      </x:c>
      <x:c r="E269" t="str">
        <x:v>Álgebra y funciones</x:v>
      </x:c>
      <x:c r="F269" s="13" t="n">
        <x:v>13.7</x:v>
      </x:c>
      <x:c r="G269" t="str">
        <x:f>IF(F269&lt;50,"NL",IF(F269&lt;66.7,"PL","L"))</x:f>
        <x:v>NL</x:v>
      </x:c>
      <x:c r="H269" t="str">
        <x:v>MATEMATICA__8-A__planilla.xlsx</x:v>
      </x:c>
    </x:row>
    <x:row r="270">
      <x:c r="A270" t="str">
        <x:v>Matemática</x:v>
      </x:c>
      <x:c r="B270" t="str">
        <x:v>2° Ciclo</x:v>
      </x:c>
      <x:c r="C270" t="str">
        <x:v>8° Básico</x:v>
      </x:c>
      <x:c r="D270" t="str">
        <x:v>8°A</x:v>
      </x:c>
      <x:c r="E270" t="str">
        <x:v>Geometría</x:v>
      </x:c>
      <x:c r="F270" s="13" t="n">
        <x:v>18.6</x:v>
      </x:c>
      <x:c r="G270" t="str">
        <x:f>IF(F270&lt;50,"NL",IF(F270&lt;66.7,"PL","L"))</x:f>
        <x:v>NL</x:v>
      </x:c>
      <x:c r="H270" t="str">
        <x:v>MATEMATICA__8-A__planilla.xlsx</x:v>
      </x:c>
    </x:row>
    <x:row r="271">
      <x:c r="A271" t="str">
        <x:v>Matemática</x:v>
      </x:c>
      <x:c r="B271" t="str">
        <x:v>2° Ciclo</x:v>
      </x:c>
      <x:c r="C271" t="str">
        <x:v>8° Básico</x:v>
      </x:c>
      <x:c r="D271" t="str">
        <x:v>8°A</x:v>
      </x:c>
      <x:c r="E271" t="str">
        <x:v>Probabilidad y estadística</x:v>
      </x:c>
      <x:c r="F271" s="13" t="n">
        <x:v>4.9</x:v>
      </x:c>
      <x:c r="G271" t="str">
        <x:f>IF(F271&lt;50,"NL",IF(F271&lt;66.7,"PL","L"))</x:f>
        <x:v>NL</x:v>
      </x:c>
      <x:c r="H271" t="str">
        <x:v>MATEMATICA__8-A__planilla.xlsx</x:v>
      </x:c>
    </x:row>
    <x:row r="272">
      <x:c r="A272" t="str">
        <x:v>Ciencias Naturales</x:v>
      </x:c>
      <x:c r="B272" t="str">
        <x:v>2° Ciclo</x:v>
      </x:c>
      <x:c r="C272" t="str">
        <x:v>8° Básico</x:v>
      </x:c>
      <x:c r="D272" t="str">
        <x:v>8°A</x:v>
      </x:c>
      <x:c r="E272" t="str">
        <x:v>Biología</x:v>
      </x:c>
      <x:c r="F272" s="13" t="n">
        <x:v>44.5</x:v>
      </x:c>
      <x:c r="G272" t="str">
        <x:f>IF(F272&lt;50,"NL",IF(F272&lt;66.7,"PL","L"))</x:f>
        <x:v>NL</x:v>
      </x:c>
      <x:c r="H272" t="str">
        <x:v>CIENCIAS_NATURALES__8-A__planilla.xlsx</x:v>
      </x:c>
    </x:row>
    <x:row r="273">
      <x:c r="A273" t="str">
        <x:v>Ciencias Naturales</x:v>
      </x:c>
      <x:c r="B273" t="str">
        <x:v>2° Ciclo</x:v>
      </x:c>
      <x:c r="C273" t="str">
        <x:v>8° Básico</x:v>
      </x:c>
      <x:c r="D273" t="str">
        <x:v>8°A</x:v>
      </x:c>
      <x:c r="E273" t="str">
        <x:v>Física</x:v>
      </x:c>
      <x:c r="F273" s="13" t="n">
        <x:v>25.5</x:v>
      </x:c>
      <x:c r="G273" t="str">
        <x:f>IF(F273&lt;50,"NL",IF(F273&lt;66.7,"PL","L"))</x:f>
        <x:v>NL</x:v>
      </x:c>
      <x:c r="H273" t="str">
        <x:v>CIENCIAS_NATURALES__8-A__planilla.xlsx</x:v>
      </x:c>
    </x:row>
    <x:row r="274">
      <x:c r="A274" t="str">
        <x:v>Ciencias Naturales</x:v>
      </x:c>
      <x:c r="B274" t="str">
        <x:v>2° Ciclo</x:v>
      </x:c>
      <x:c r="C274" t="str">
        <x:v>8° Básico</x:v>
      </x:c>
      <x:c r="D274" t="str">
        <x:v>8°A</x:v>
      </x:c>
      <x:c r="E274" t="str">
        <x:v>Química</x:v>
      </x:c>
      <x:c r="F274" s="13" t="n">
        <x:v>32.4</x:v>
      </x:c>
      <x:c r="G274" t="str">
        <x:f>IF(F274&lt;50,"NL",IF(F274&lt;66.7,"PL","L"))</x:f>
        <x:v>NL</x:v>
      </x:c>
      <x:c r="H274" t="str">
        <x:v>CIENCIAS_NATURALES__8-A__planilla.xlsx</x:v>
      </x:c>
    </x:row>
    <x:row r="275">
      <x:c r="A275" t="str">
        <x:v>Historia y Cs. Sociales</x:v>
      </x:c>
      <x:c r="B275" t="str">
        <x:v>2° Ciclo</x:v>
      </x:c>
      <x:c r="C275" t="str">
        <x:v>8° Básico</x:v>
      </x:c>
      <x:c r="D275" t="str">
        <x:v>8°A</x:v>
      </x:c>
      <x:c r="E275" t="str">
        <x:v>Historia</x:v>
      </x:c>
      <x:c r="F275" s="13" t="n">
        <x:v>45.7</x:v>
      </x:c>
      <x:c r="G275" t="str">
        <x:f>IF(F275&lt;50,"NL",IF(F275&lt;66.7,"PL","L"))</x:f>
        <x:v>NL</x:v>
      </x:c>
      <x:c r="H275" t="str">
        <x:v>HISTORIA_GEOGRAFIA_y_CIENCIAS_SOCIALES__8-A__planilla.xlsx</x:v>
      </x:c>
    </x:row>
    <x:row r="276">
      <x:c r="A276" t="str">
        <x:v>Historia y Cs. Sociales</x:v>
      </x:c>
      <x:c r="B276" t="str">
        <x:v>2° Ciclo</x:v>
      </x:c>
      <x:c r="C276" t="str">
        <x:v>8° Básico</x:v>
      </x:c>
      <x:c r="D276" t="str">
        <x:v>8°A</x:v>
      </x:c>
      <x:c r="E276" t="str">
        <x:v>Geografía</x:v>
      </x:c>
      <x:c r="F276" s="13" t="n">
        <x:v>10.5</x:v>
      </x:c>
      <x:c r="G276" t="str">
        <x:f>IF(F276&lt;50,"NL",IF(F276&lt;66.7,"PL","L"))</x:f>
        <x:v>NL</x:v>
      </x:c>
      <x:c r="H276" t="str">
        <x:v>HISTORIA_GEOGRAFIA_y_CIENCIAS_SOCIALES__8-A__planilla.xlsx</x:v>
      </x:c>
    </x:row>
    <x:row r="277">
      <x:c r="A277" t="str">
        <x:v>Historia y Cs. Sociales</x:v>
      </x:c>
      <x:c r="B277" t="str">
        <x:v>2° Ciclo</x:v>
      </x:c>
      <x:c r="C277" t="str">
        <x:v>8° Básico</x:v>
      </x:c>
      <x:c r="D277" t="str">
        <x:v>8°A</x:v>
      </x:c>
      <x:c r="E277" t="str">
        <x:v>Formación Ciudadana</x:v>
      </x:c>
      <x:c r="F277" s="13" t="n">
        <x:v>34.4</x:v>
      </x:c>
      <x:c r="G277" t="str">
        <x:f>IF(F277&lt;50,"NL",IF(F277&lt;66.7,"PL","L"))</x:f>
        <x:v>NL</x:v>
      </x:c>
      <x:c r="H277" t="str">
        <x:v>HISTORIA_GEOGRAFIA_y_CIENCIAS_SOCIALES__8-A__planilla.xlsx</x:v>
      </x:c>
    </x:row>
    <x:row r="278">
      <x:c r="A278" t="str">
        <x:v>Lectura</x:v>
      </x:c>
      <x:c r="B278" t="str">
        <x:v>2° Ciclo</x:v>
      </x:c>
      <x:c r="C278" t="str">
        <x:v>8° Básico</x:v>
      </x:c>
      <x:c r="D278" t="str">
        <x:v>8°B</x:v>
      </x:c>
      <x:c r="E278" t="str">
        <x:v>Localizar</x:v>
      </x:c>
      <x:c r="F278" s="13" t="n">
        <x:v>48.5</x:v>
      </x:c>
      <x:c r="G278" t="str">
        <x:f>IF(F278&lt;50,"NL",IF(F278&lt;66.7,"PL","L"))</x:f>
        <x:v>NL</x:v>
      </x:c>
      <x:c r="H278" t="str">
        <x:v>LECTURA__8-B__planilla.xlsx</x:v>
      </x:c>
    </x:row>
    <x:row r="279">
      <x:c r="A279" t="str">
        <x:v>Lectura</x:v>
      </x:c>
      <x:c r="B279" t="str">
        <x:v>2° Ciclo</x:v>
      </x:c>
      <x:c r="C279" t="str">
        <x:v>8° Básico</x:v>
      </x:c>
      <x:c r="D279" t="str">
        <x:v>8°B</x:v>
      </x:c>
      <x:c r="E279" t="str">
        <x:v>Interpretar y relacionar</x:v>
      </x:c>
      <x:c r="F279" s="13" t="n">
        <x:v>55.6</x:v>
      </x:c>
      <x:c r="G279" t="str">
        <x:f>IF(F279&lt;50,"NL",IF(F279&lt;66.7,"PL","L"))</x:f>
        <x:v>PL</x:v>
      </x:c>
      <x:c r="H279" t="str">
        <x:v>LECTURA__8-B__planilla.xlsx</x:v>
      </x:c>
    </x:row>
    <x:row r="280">
      <x:c r="A280" t="str">
        <x:v>Lectura</x:v>
      </x:c>
      <x:c r="B280" t="str">
        <x:v>2° Ciclo</x:v>
      </x:c>
      <x:c r="C280" t="str">
        <x:v>8° Básico</x:v>
      </x:c>
      <x:c r="D280" t="str">
        <x:v>8°B</x:v>
      </x:c>
      <x:c r="E280" t="str">
        <x:v>Reflexionar</x:v>
      </x:c>
      <x:c r="F280" s="13" t="n">
        <x:v>44.9</x:v>
      </x:c>
      <x:c r="G280" t="str">
        <x:f>IF(F280&lt;50,"NL",IF(F280&lt;66.7,"PL","L"))</x:f>
        <x:v>NL</x:v>
      </x:c>
      <x:c r="H280" t="str">
        <x:v>LECTURA__8-B__planilla.xlsx</x:v>
      </x:c>
    </x:row>
    <x:row r="281">
      <x:c r="A281" t="str">
        <x:v>Matemática</x:v>
      </x:c>
      <x:c r="B281" t="str">
        <x:v>2° Ciclo</x:v>
      </x:c>
      <x:c r="C281" t="str">
        <x:v>8° Básico</x:v>
      </x:c>
      <x:c r="D281" t="str">
        <x:v>8°B</x:v>
      </x:c>
      <x:c r="E281" t="str">
        <x:v>Números</x:v>
      </x:c>
      <x:c r="F281" s="13" t="n">
        <x:v>48</x:v>
      </x:c>
      <x:c r="G281" t="str">
        <x:f>IF(F281&lt;50,"NL",IF(F281&lt;66.7,"PL","L"))</x:f>
        <x:v>NL</x:v>
      </x:c>
      <x:c r="H281" t="str">
        <x:v>MATEMATICA__8-B__planilla.xlsx</x:v>
      </x:c>
    </x:row>
    <x:row r="282">
      <x:c r="A282" t="str">
        <x:v>Matemática</x:v>
      </x:c>
      <x:c r="B282" t="str">
        <x:v>2° Ciclo</x:v>
      </x:c>
      <x:c r="C282" t="str">
        <x:v>8° Básico</x:v>
      </x:c>
      <x:c r="D282" t="str">
        <x:v>8°B</x:v>
      </x:c>
      <x:c r="E282" t="str">
        <x:v>Álgebra y funciones</x:v>
      </x:c>
      <x:c r="F282" s="13" t="n">
        <x:v>21.1</x:v>
      </x:c>
      <x:c r="G282" t="str">
        <x:f>IF(F282&lt;50,"NL",IF(F282&lt;66.7,"PL","L"))</x:f>
        <x:v>NL</x:v>
      </x:c>
      <x:c r="H282" t="str">
        <x:v>MATEMATICA__8-B__planilla.xlsx</x:v>
      </x:c>
    </x:row>
    <x:row r="283">
      <x:c r="A283" t="str">
        <x:v>Matemática</x:v>
      </x:c>
      <x:c r="B283" t="str">
        <x:v>2° Ciclo</x:v>
      </x:c>
      <x:c r="C283" t="str">
        <x:v>8° Básico</x:v>
      </x:c>
      <x:c r="D283" t="str">
        <x:v>8°B</x:v>
      </x:c>
      <x:c r="E283" t="str">
        <x:v>Geometría</x:v>
      </x:c>
      <x:c r="F283" s="13" t="n">
        <x:v>23</x:v>
      </x:c>
      <x:c r="G283" t="str">
        <x:f>IF(F283&lt;50,"NL",IF(F283&lt;66.7,"PL","L"))</x:f>
        <x:v>NL</x:v>
      </x:c>
      <x:c r="H283" t="str">
        <x:v>MATEMATICA__8-B__planilla.xlsx</x:v>
      </x:c>
    </x:row>
    <x:row r="284">
      <x:c r="A284" t="str">
        <x:v>Matemática</x:v>
      </x:c>
      <x:c r="B284" t="str">
        <x:v>2° Ciclo</x:v>
      </x:c>
      <x:c r="C284" t="str">
        <x:v>8° Básico</x:v>
      </x:c>
      <x:c r="D284" t="str">
        <x:v>8°B</x:v>
      </x:c>
      <x:c r="E284" t="str">
        <x:v>Probabilidad y estadística</x:v>
      </x:c>
      <x:c r="F284" s="13" t="n">
        <x:v>8.9</x:v>
      </x:c>
      <x:c r="G284" t="str">
        <x:f>IF(F284&lt;50,"NL",IF(F284&lt;66.7,"PL","L"))</x:f>
        <x:v>NL</x:v>
      </x:c>
      <x:c r="H284" t="str">
        <x:v>MATEMATICA__8-B__planilla.xlsx</x:v>
      </x:c>
    </x:row>
    <x:row r="285">
      <x:c r="A285" t="str">
        <x:v>Historia y Cs. Sociales</x:v>
      </x:c>
      <x:c r="B285" t="str">
        <x:v>2° Ciclo</x:v>
      </x:c>
      <x:c r="C285" t="str">
        <x:v>8° Básico</x:v>
      </x:c>
      <x:c r="D285" t="str">
        <x:v>8°B</x:v>
      </x:c>
      <x:c r="E285" t="str">
        <x:v>Historia</x:v>
      </x:c>
      <x:c r="F285" s="13" t="n">
        <x:v>32.6</x:v>
      </x:c>
      <x:c r="G285" t="str">
        <x:f>IF(F285&lt;50,"NL",IF(F285&lt;66.7,"PL","L"))</x:f>
        <x:v>NL</x:v>
      </x:c>
      <x:c r="H285" t="str">
        <x:v>HISTORIA_GEOGRAFIA_y_CIENCIAS_SOCIALES__8-B__planilla.xlsx</x:v>
      </x:c>
    </x:row>
    <x:row r="286">
      <x:c r="A286" t="str">
        <x:v>Historia y Cs. Sociales</x:v>
      </x:c>
      <x:c r="B286" t="str">
        <x:v>2° Ciclo</x:v>
      </x:c>
      <x:c r="C286" t="str">
        <x:v>8° Básico</x:v>
      </x:c>
      <x:c r="D286" t="str">
        <x:v>8°B</x:v>
      </x:c>
      <x:c r="E286" t="str">
        <x:v>Geografía</x:v>
      </x:c>
      <x:c r="F286" s="13" t="n">
        <x:v>37.3</x:v>
      </x:c>
      <x:c r="G286" t="str">
        <x:f>IF(F286&lt;50,"NL",IF(F286&lt;66.7,"PL","L"))</x:f>
        <x:v>NL</x:v>
      </x:c>
      <x:c r="H286" t="str">
        <x:v>HISTORIA_GEOGRAFIA_y_CIENCIAS_SOCIALES__8-B__planilla.xlsx</x:v>
      </x:c>
    </x:row>
    <x:row r="287">
      <x:c r="A287" t="str">
        <x:v>Historia y Cs. Sociales</x:v>
      </x:c>
      <x:c r="B287" t="str">
        <x:v>2° Ciclo</x:v>
      </x:c>
      <x:c r="C287" t="str">
        <x:v>8° Básico</x:v>
      </x:c>
      <x:c r="D287" t="str">
        <x:v>8°B</x:v>
      </x:c>
      <x:c r="E287" t="str">
        <x:v>Formación Ciudadana</x:v>
      </x:c>
      <x:c r="F287" s="13" t="n">
        <x:v>26.7</x:v>
      </x:c>
      <x:c r="G287" t="str">
        <x:f>IF(F287&lt;50,"NL",IF(F287&lt;66.7,"PL","L"))</x:f>
        <x:v>NL</x:v>
      </x:c>
      <x:c r="H287" t="str">
        <x:v>HISTORIA_GEOGRAFIA_y_CIENCIAS_SOCIALES__8-B__planilla.xlsx</x:v>
      </x:c>
    </x:row>
    <x:row r="288">
      <x:c r="A288" t="str">
        <x:v>Lectura</x:v>
      </x:c>
      <x:c r="B288" t="str">
        <x:v>2° Ciclo</x:v>
      </x:c>
      <x:c r="C288" t="str">
        <x:v>8° Básico</x:v>
      </x:c>
      <x:c r="D288" t="str">
        <x:v>8°C</x:v>
      </x:c>
      <x:c r="E288" t="str">
        <x:v>Localizar</x:v>
      </x:c>
      <x:c r="F288" s="13" t="n">
        <x:v>65.5</x:v>
      </x:c>
      <x:c r="G288" t="str">
        <x:f>IF(F288&lt;50,"NL",IF(F288&lt;66.7,"PL","L"))</x:f>
        <x:v>PL</x:v>
      </x:c>
      <x:c r="H288" t="str">
        <x:v>LECTURA__8-C__planilla.xlsx</x:v>
      </x:c>
    </x:row>
    <x:row r="289">
      <x:c r="A289" t="str">
        <x:v>Lectura</x:v>
      </x:c>
      <x:c r="B289" t="str">
        <x:v>2° Ciclo</x:v>
      </x:c>
      <x:c r="C289" t="str">
        <x:v>8° Básico</x:v>
      </x:c>
      <x:c r="D289" t="str">
        <x:v>8°C</x:v>
      </x:c>
      <x:c r="E289" t="str">
        <x:v>Interpretar y relacionar</x:v>
      </x:c>
      <x:c r="F289" s="13" t="n">
        <x:v>55.8</x:v>
      </x:c>
      <x:c r="G289" t="str">
        <x:f>IF(F289&lt;50,"NL",IF(F289&lt;66.7,"PL","L"))</x:f>
        <x:v>PL</x:v>
      </x:c>
      <x:c r="H289" t="str">
        <x:v>LECTURA__8-C__planilla.xlsx</x:v>
      </x:c>
    </x:row>
    <x:row r="290">
      <x:c r="A290" t="str">
        <x:v>Lectura</x:v>
      </x:c>
      <x:c r="B290" t="str">
        <x:v>2° Ciclo</x:v>
      </x:c>
      <x:c r="C290" t="str">
        <x:v>8° Básico</x:v>
      </x:c>
      <x:c r="D290" t="str">
        <x:v>8°C</x:v>
      </x:c>
      <x:c r="E290" t="str">
        <x:v>Reflexionar</x:v>
      </x:c>
      <x:c r="F290" s="13" t="n">
        <x:v>47.7</x:v>
      </x:c>
      <x:c r="G290" t="str">
        <x:f>IF(F290&lt;50,"NL",IF(F290&lt;66.7,"PL","L"))</x:f>
        <x:v>NL</x:v>
      </x:c>
      <x:c r="H290" t="str">
        <x:v>LECTURA__8-C__planilla.xlsx</x:v>
      </x:c>
    </x:row>
    <x:row r="291">
      <x:c r="A291" t="str">
        <x:v>Matemática</x:v>
      </x:c>
      <x:c r="B291" t="str">
        <x:v>2° Ciclo</x:v>
      </x:c>
      <x:c r="C291" t="str">
        <x:v>8° Básico</x:v>
      </x:c>
      <x:c r="D291" t="str">
        <x:v>8°C</x:v>
      </x:c>
      <x:c r="E291" t="str">
        <x:v>Números</x:v>
      </x:c>
      <x:c r="F291" s="13" t="n">
        <x:v>54.6</x:v>
      </x:c>
      <x:c r="G291" t="str">
        <x:f>IF(F291&lt;50,"NL",IF(F291&lt;66.7,"PL","L"))</x:f>
        <x:v>PL</x:v>
      </x:c>
      <x:c r="H291" t="str">
        <x:v>MATEMATICA__8-C__planilla.xlsx</x:v>
      </x:c>
    </x:row>
    <x:row r="292">
      <x:c r="A292" t="str">
        <x:v>Matemática</x:v>
      </x:c>
      <x:c r="B292" t="str">
        <x:v>2° Ciclo</x:v>
      </x:c>
      <x:c r="C292" t="str">
        <x:v>8° Básico</x:v>
      </x:c>
      <x:c r="D292" t="str">
        <x:v>8°C</x:v>
      </x:c>
      <x:c r="E292" t="str">
        <x:v>Álgebra y funciones</x:v>
      </x:c>
      <x:c r="F292" s="13" t="n">
        <x:v>47</x:v>
      </x:c>
      <x:c r="G292" t="str">
        <x:f>IF(F292&lt;50,"NL",IF(F292&lt;66.7,"PL","L"))</x:f>
        <x:v>NL</x:v>
      </x:c>
      <x:c r="H292" t="str">
        <x:v>MATEMATICA__8-C__planilla.xlsx</x:v>
      </x:c>
    </x:row>
    <x:row r="293">
      <x:c r="A293" t="str">
        <x:v>Matemática</x:v>
      </x:c>
      <x:c r="B293" t="str">
        <x:v>2° Ciclo</x:v>
      </x:c>
      <x:c r="C293" t="str">
        <x:v>8° Básico</x:v>
      </x:c>
      <x:c r="D293" t="str">
        <x:v>8°C</x:v>
      </x:c>
      <x:c r="E293" t="str">
        <x:v>Geometría</x:v>
      </x:c>
      <x:c r="F293" s="13" t="n">
        <x:v>52.3</x:v>
      </x:c>
      <x:c r="G293" t="str">
        <x:f>IF(F293&lt;50,"NL",IF(F293&lt;66.7,"PL","L"))</x:f>
        <x:v>PL</x:v>
      </x:c>
      <x:c r="H293" t="str">
        <x:v>MATEMATICA__8-C__planilla.xlsx</x:v>
      </x:c>
    </x:row>
    <x:row r="294">
      <x:c r="A294" t="str">
        <x:v>Matemática</x:v>
      </x:c>
      <x:c r="B294" t="str">
        <x:v>2° Ciclo</x:v>
      </x:c>
      <x:c r="C294" t="str">
        <x:v>8° Básico</x:v>
      </x:c>
      <x:c r="D294" t="str">
        <x:v>8°C</x:v>
      </x:c>
      <x:c r="E294" t="str">
        <x:v>Probabilidad y estadística</x:v>
      </x:c>
      <x:c r="F294" s="13" t="n">
        <x:v>47.1</x:v>
      </x:c>
      <x:c r="G294" t="str">
        <x:f>IF(F294&lt;50,"NL",IF(F294&lt;66.7,"PL","L"))</x:f>
        <x:v>NL</x:v>
      </x:c>
      <x:c r="H294" t="str">
        <x:v>MATEMATICA__8-C__planilla.xlsx</x:v>
      </x:c>
    </x:row>
    <x:row r="295">
      <x:c r="A295" t="str">
        <x:v>Ciencias Naturales</x:v>
      </x:c>
      <x:c r="B295" t="str">
        <x:v>2° Ciclo</x:v>
      </x:c>
      <x:c r="C295" t="str">
        <x:v>8° Básico</x:v>
      </x:c>
      <x:c r="D295" t="str">
        <x:v>8°C</x:v>
      </x:c>
      <x:c r="E295" t="str">
        <x:v>Biología</x:v>
      </x:c>
      <x:c r="F295" s="13" t="n">
        <x:v>31.6</x:v>
      </x:c>
      <x:c r="G295" t="str">
        <x:f>IF(F295&lt;50,"NL",IF(F295&lt;66.7,"PL","L"))</x:f>
        <x:v>NL</x:v>
      </x:c>
      <x:c r="H295" t="str">
        <x:v>CIENCIAS_NATURALES__8-C__planilla.xlsx</x:v>
      </x:c>
    </x:row>
    <x:row r="296">
      <x:c r="A296" t="str">
        <x:v>Ciencias Naturales</x:v>
      </x:c>
      <x:c r="B296" t="str">
        <x:v>2° Ciclo</x:v>
      </x:c>
      <x:c r="C296" t="str">
        <x:v>8° Básico</x:v>
      </x:c>
      <x:c r="D296" t="str">
        <x:v>8°C</x:v>
      </x:c>
      <x:c r="E296" t="str">
        <x:v>Física</x:v>
      </x:c>
      <x:c r="F296" s="13" t="n">
        <x:v>17.9</x:v>
      </x:c>
      <x:c r="G296" t="str">
        <x:f>IF(F296&lt;50,"NL",IF(F296&lt;66.7,"PL","L"))</x:f>
        <x:v>NL</x:v>
      </x:c>
      <x:c r="H296" t="str">
        <x:v>CIENCIAS_NATURALES__8-C__planilla.xlsx</x:v>
      </x:c>
    </x:row>
    <x:row r="297">
      <x:c r="A297" t="str">
        <x:v>Ciencias Naturales</x:v>
      </x:c>
      <x:c r="B297" t="str">
        <x:v>2° Ciclo</x:v>
      </x:c>
      <x:c r="C297" t="str">
        <x:v>8° Básico</x:v>
      </x:c>
      <x:c r="D297" t="str">
        <x:v>8°C</x:v>
      </x:c>
      <x:c r="E297" t="str">
        <x:v>Química</x:v>
      </x:c>
      <x:c r="F297" s="13" t="n">
        <x:v>18.9</x:v>
      </x:c>
      <x:c r="G297" t="str">
        <x:f>IF(F297&lt;50,"NL",IF(F297&lt;66.7,"PL","L"))</x:f>
        <x:v>NL</x:v>
      </x:c>
      <x:c r="H297" t="str">
        <x:v>CIENCIAS_NATURALES__8-C__planilla.xlsx</x:v>
      </x:c>
    </x:row>
    <x:row r="298">
      <x:c r="A298" t="str">
        <x:v>Historia y Cs. Sociales</x:v>
      </x:c>
      <x:c r="B298" t="str">
        <x:v>2° Ciclo</x:v>
      </x:c>
      <x:c r="C298" t="str">
        <x:v>8° Básico</x:v>
      </x:c>
      <x:c r="D298" t="str">
        <x:v>8°C</x:v>
      </x:c>
      <x:c r="E298" t="str">
        <x:v>Historia</x:v>
      </x:c>
      <x:c r="F298" s="13" t="n">
        <x:v>45.9</x:v>
      </x:c>
      <x:c r="G298" t="str">
        <x:f>IF(F298&lt;50,"NL",IF(F298&lt;66.7,"PL","L"))</x:f>
        <x:v>NL</x:v>
      </x:c>
      <x:c r="H298" t="str">
        <x:v>HISTORIA_GEOGRAFIA_y_CIENCIAS_SOCIALES__8-C__planilla.xlsx</x:v>
      </x:c>
    </x:row>
    <x:row r="299">
      <x:c r="A299" t="str">
        <x:v>Historia y Cs. Sociales</x:v>
      </x:c>
      <x:c r="B299" t="str">
        <x:v>2° Ciclo</x:v>
      </x:c>
      <x:c r="C299" t="str">
        <x:v>8° Básico</x:v>
      </x:c>
      <x:c r="D299" t="str">
        <x:v>8°C</x:v>
      </x:c>
      <x:c r="E299" t="str">
        <x:v>Geografía</x:v>
      </x:c>
      <x:c r="F299" s="13" t="n">
        <x:v>37.5</x:v>
      </x:c>
      <x:c r="G299" t="str">
        <x:f>IF(F299&lt;50,"NL",IF(F299&lt;66.7,"PL","L"))</x:f>
        <x:v>NL</x:v>
      </x:c>
      <x:c r="H299" t="str">
        <x:v>HISTORIA_GEOGRAFIA_y_CIENCIAS_SOCIALES__8-C__planilla.xlsx</x:v>
      </x:c>
    </x:row>
    <x:row r="300">
      <x:c r="A300" t="str">
        <x:v>Historia y Cs. Sociales</x:v>
      </x:c>
      <x:c r="B300" t="str">
        <x:v>2° Ciclo</x:v>
      </x:c>
      <x:c r="C300" t="str">
        <x:v>8° Básico</x:v>
      </x:c>
      <x:c r="D300" t="str">
        <x:v>8°C</x:v>
      </x:c>
      <x:c r="E300" t="str">
        <x:v>Formación Ciudadana</x:v>
      </x:c>
      <x:c r="F300" s="13" t="n">
        <x:v>33.3</x:v>
      </x:c>
      <x:c r="G300" t="str">
        <x:f>IF(F300&lt;50,"NL",IF(F300&lt;66.7,"PL","L"))</x:f>
        <x:v>NL</x:v>
      </x:c>
      <x:c r="H300" t="str">
        <x:v>HISTORIA_GEOGRAFIA_y_CIENCIAS_SOCIALES__8-C__planilla.xlsx</x:v>
      </x:c>
    </x:row>
    <x:row r="301">
      <x:c r="A301" t="str">
        <x:v>Lectura</x:v>
      </x:c>
      <x:c r="B301" t="str">
        <x:v>2° Ciclo</x:v>
      </x:c>
      <x:c r="C301" t="str">
        <x:v>8° Básico</x:v>
      </x:c>
      <x:c r="D301" t="str">
        <x:v>8°D</x:v>
      </x:c>
      <x:c r="E301" t="str">
        <x:v>Localizar</x:v>
      </x:c>
      <x:c r="F301" s="13" t="n">
        <x:v>51.6</x:v>
      </x:c>
      <x:c r="G301" t="str">
        <x:f>IF(F301&lt;50,"NL",IF(F301&lt;66.7,"PL","L"))</x:f>
        <x:v>PL</x:v>
      </x:c>
      <x:c r="H301" t="str">
        <x:v>LECTURA__8-D__planilla.xlsx</x:v>
      </x:c>
    </x:row>
    <x:row r="302">
      <x:c r="A302" t="str">
        <x:v>Lectura</x:v>
      </x:c>
      <x:c r="B302" t="str">
        <x:v>2° Ciclo</x:v>
      </x:c>
      <x:c r="C302" t="str">
        <x:v>8° Básico</x:v>
      </x:c>
      <x:c r="D302" t="str">
        <x:v>8°D</x:v>
      </x:c>
      <x:c r="E302" t="str">
        <x:v>Interpretar y relacionar</x:v>
      </x:c>
      <x:c r="F302" s="13" t="n">
        <x:v>53.6</x:v>
      </x:c>
      <x:c r="G302" t="str">
        <x:f>IF(F302&lt;50,"NL",IF(F302&lt;66.7,"PL","L"))</x:f>
        <x:v>PL</x:v>
      </x:c>
      <x:c r="H302" t="str">
        <x:v>LECTURA__8-D__planilla.xlsx</x:v>
      </x:c>
    </x:row>
    <x:row r="303">
      <x:c r="A303" t="str">
        <x:v>Lectura</x:v>
      </x:c>
      <x:c r="B303" t="str">
        <x:v>2° Ciclo</x:v>
      </x:c>
      <x:c r="C303" t="str">
        <x:v>8° Básico</x:v>
      </x:c>
      <x:c r="D303" t="str">
        <x:v>8°D</x:v>
      </x:c>
      <x:c r="E303" t="str">
        <x:v>Reflexionar</x:v>
      </x:c>
      <x:c r="F303" s="13" t="n">
        <x:v>42.4</x:v>
      </x:c>
      <x:c r="G303" t="str">
        <x:f>IF(F303&lt;50,"NL",IF(F303&lt;66.7,"PL","L"))</x:f>
        <x:v>NL</x:v>
      </x:c>
      <x:c r="H303" t="str">
        <x:v>LECTURA__8-D__planilla.xlsx</x:v>
      </x:c>
    </x:row>
    <x:row r="304">
      <x:c r="A304" t="str">
        <x:v>Matemática</x:v>
      </x:c>
      <x:c r="B304" t="str">
        <x:v>2° Ciclo</x:v>
      </x:c>
      <x:c r="C304" t="str">
        <x:v>8° Básico</x:v>
      </x:c>
      <x:c r="D304" t="str">
        <x:v>8°D</x:v>
      </x:c>
      <x:c r="E304" t="str">
        <x:v>Números</x:v>
      </x:c>
      <x:c r="F304" s="13" t="n">
        <x:v>46</x:v>
      </x:c>
      <x:c r="G304" t="str">
        <x:f>IF(F304&lt;50,"NL",IF(F304&lt;66.7,"PL","L"))</x:f>
        <x:v>NL</x:v>
      </x:c>
      <x:c r="H304" t="str">
        <x:v>MATEMATICA__8-D__planilla.xlsx</x:v>
      </x:c>
    </x:row>
    <x:row r="305">
      <x:c r="A305" t="str">
        <x:v>Matemática</x:v>
      </x:c>
      <x:c r="B305" t="str">
        <x:v>2° Ciclo</x:v>
      </x:c>
      <x:c r="C305" t="str">
        <x:v>8° Básico</x:v>
      </x:c>
      <x:c r="D305" t="str">
        <x:v>8°D</x:v>
      </x:c>
      <x:c r="E305" t="str">
        <x:v>Álgebra y funciones</x:v>
      </x:c>
      <x:c r="F305" s="13" t="n">
        <x:v>30.4</x:v>
      </x:c>
      <x:c r="G305" t="str">
        <x:f>IF(F305&lt;50,"NL",IF(F305&lt;66.7,"PL","L"))</x:f>
        <x:v>NL</x:v>
      </x:c>
      <x:c r="H305" t="str">
        <x:v>MATEMATICA__8-D__planilla.xlsx</x:v>
      </x:c>
    </x:row>
    <x:row r="306">
      <x:c r="A306" t="str">
        <x:v>Matemática</x:v>
      </x:c>
      <x:c r="B306" t="str">
        <x:v>2° Ciclo</x:v>
      </x:c>
      <x:c r="C306" t="str">
        <x:v>8° Básico</x:v>
      </x:c>
      <x:c r="D306" t="str">
        <x:v>8°D</x:v>
      </x:c>
      <x:c r="E306" t="str">
        <x:v>Geometría</x:v>
      </x:c>
      <x:c r="F306" s="13" t="n">
        <x:v>26.3</x:v>
      </x:c>
      <x:c r="G306" t="str">
        <x:f>IF(F306&lt;50,"NL",IF(F306&lt;66.7,"PL","L"))</x:f>
        <x:v>NL</x:v>
      </x:c>
      <x:c r="H306" t="str">
        <x:v>MATEMATICA__8-D__planilla.xlsx</x:v>
      </x:c>
    </x:row>
    <x:row r="307">
      <x:c r="A307" t="str">
        <x:v>Matemática</x:v>
      </x:c>
      <x:c r="B307" t="str">
        <x:v>2° Ciclo</x:v>
      </x:c>
      <x:c r="C307" t="str">
        <x:v>8° Básico</x:v>
      </x:c>
      <x:c r="D307" t="str">
        <x:v>8°D</x:v>
      </x:c>
      <x:c r="E307" t="str">
        <x:v>Probabilidad y estadística</x:v>
      </x:c>
      <x:c r="F307" s="13" t="n">
        <x:v>25.5</x:v>
      </x:c>
      <x:c r="G307" t="str">
        <x:f>IF(F307&lt;50,"NL",IF(F307&lt;66.7,"PL","L"))</x:f>
        <x:v>NL</x:v>
      </x:c>
      <x:c r="H307" t="str">
        <x:v>MATEMATICA__8-D__planilla.xlsx</x:v>
      </x:c>
    </x:row>
    <x:row r="308">
      <x:c r="A308" t="str">
        <x:v>Ciencias Naturales</x:v>
      </x:c>
      <x:c r="B308" t="str">
        <x:v>2° Ciclo</x:v>
      </x:c>
      <x:c r="C308" t="str">
        <x:v>8° Básico</x:v>
      </x:c>
      <x:c r="D308" t="str">
        <x:v>8°D</x:v>
      </x:c>
      <x:c r="E308" t="str">
        <x:v>Biología</x:v>
      </x:c>
      <x:c r="F308" s="13" t="n">
        <x:v>34.9</x:v>
      </x:c>
      <x:c r="G308" t="str">
        <x:f>IF(F308&lt;50,"NL",IF(F308&lt;66.7,"PL","L"))</x:f>
        <x:v>NL</x:v>
      </x:c>
      <x:c r="H308" t="str">
        <x:v>CIENCIAS_NATURALES__8-D__planilla.xlsx</x:v>
      </x:c>
    </x:row>
    <x:row r="309">
      <x:c r="A309" t="str">
        <x:v>Ciencias Naturales</x:v>
      </x:c>
      <x:c r="B309" t="str">
        <x:v>2° Ciclo</x:v>
      </x:c>
      <x:c r="C309" t="str">
        <x:v>8° Básico</x:v>
      </x:c>
      <x:c r="D309" t="str">
        <x:v>8°D</x:v>
      </x:c>
      <x:c r="E309" t="str">
        <x:v>Física</x:v>
      </x:c>
      <x:c r="F309" s="13" t="n">
        <x:v>27.5</x:v>
      </x:c>
      <x:c r="G309" t="str">
        <x:f>IF(F309&lt;50,"NL",IF(F309&lt;66.7,"PL","L"))</x:f>
        <x:v>NL</x:v>
      </x:c>
      <x:c r="H309" t="str">
        <x:v>CIENCIAS_NATURALES__8-D__planilla.xlsx</x:v>
      </x:c>
    </x:row>
    <x:row r="310">
      <x:c r="A310" t="str">
        <x:v>Ciencias Naturales</x:v>
      </x:c>
      <x:c r="B310" t="str">
        <x:v>2° Ciclo</x:v>
      </x:c>
      <x:c r="C310" t="str">
        <x:v>8° Básico</x:v>
      </x:c>
      <x:c r="D310" t="str">
        <x:v>8°D</x:v>
      </x:c>
      <x:c r="E310" t="str">
        <x:v>Química</x:v>
      </x:c>
      <x:c r="F310" s="13" t="n">
        <x:v>32.9</x:v>
      </x:c>
      <x:c r="G310" t="str">
        <x:f>IF(F310&lt;50,"NL",IF(F310&lt;66.7,"PL","L"))</x:f>
        <x:v>NL</x:v>
      </x:c>
      <x:c r="H310" t="str">
        <x:v>CIENCIAS_NATURALES__8-D__planilla.xlsx</x:v>
      </x:c>
    </x:row>
    <x:row r="311">
      <x:c r="A311" t="str">
        <x:v>Historia y Cs. Sociales</x:v>
      </x:c>
      <x:c r="B311" t="str">
        <x:v>2° Ciclo</x:v>
      </x:c>
      <x:c r="C311" t="str">
        <x:v>8° Básico</x:v>
      </x:c>
      <x:c r="D311" t="str">
        <x:v>8°D</x:v>
      </x:c>
      <x:c r="E311" t="str">
        <x:v>Historia</x:v>
      </x:c>
      <x:c r="F311" s="13" t="n">
        <x:v>35.1</x:v>
      </x:c>
      <x:c r="G311" t="str">
        <x:f>IF(F311&lt;50,"NL",IF(F311&lt;66.7,"PL","L"))</x:f>
        <x:v>NL</x:v>
      </x:c>
      <x:c r="H311" t="str">
        <x:v>HISTORIA_GEOGRAFIA_y_CIENCIAS_SOCIALES__8-D__planilla.xlsx</x:v>
      </x:c>
    </x:row>
    <x:row r="312">
      <x:c r="A312" t="str">
        <x:v>Historia y Cs. Sociales</x:v>
      </x:c>
      <x:c r="B312" t="str">
        <x:v>2° Ciclo</x:v>
      </x:c>
      <x:c r="C312" t="str">
        <x:v>8° Básico</x:v>
      </x:c>
      <x:c r="D312" t="str">
        <x:v>8°D</x:v>
      </x:c>
      <x:c r="E312" t="str">
        <x:v>Geografía</x:v>
      </x:c>
      <x:c r="F312" s="13" t="n">
        <x:v>39.9</x:v>
      </x:c>
      <x:c r="G312" t="str">
        <x:f>IF(F312&lt;50,"NL",IF(F312&lt;66.7,"PL","L"))</x:f>
        <x:v>NL</x:v>
      </x:c>
      <x:c r="H312" t="str">
        <x:v>HISTORIA_GEOGRAFIA_y_CIENCIAS_SOCIALES__8-D__planilla.xlsx</x:v>
      </x:c>
    </x:row>
    <x:row r="313">
      <x:c r="A313" t="str">
        <x:v>Historia y Cs. Sociales</x:v>
      </x:c>
      <x:c r="B313" t="str">
        <x:v>2° Ciclo</x:v>
      </x:c>
      <x:c r="C313" t="str">
        <x:v>8° Básico</x:v>
      </x:c>
      <x:c r="D313" t="str">
        <x:v>8°D</x:v>
      </x:c>
      <x:c r="E313" t="str">
        <x:v>Formación Ciudadana</x:v>
      </x:c>
      <x:c r="F313" s="13" t="n">
        <x:v>29.4</x:v>
      </x:c>
      <x:c r="G313" t="str">
        <x:f>IF(F313&lt;50,"NL",IF(F313&lt;66.7,"PL","L"))</x:f>
        <x:v>NL</x:v>
      </x:c>
      <x:c r="H313" t="str">
        <x:v>HISTORIA_GEOGRAFIA_y_CIENCIAS_SOCIALES__8-D__planilla.xlsx</x:v>
      </x:c>
    </x:row>
    <x:row r="314">
      <x:c r="A314" t="str">
        <x:v>Lectura</x:v>
      </x:c>
      <x:c r="B314" t="str">
        <x:v>2° Ciclo</x:v>
      </x:c>
      <x:c r="C314" t="str">
        <x:v>8° Básico</x:v>
      </x:c>
      <x:c r="D314" t="str">
        <x:v>8°G</x:v>
      </x:c>
      <x:c r="E314" t="str">
        <x:v>Localizar</x:v>
      </x:c>
      <x:c r="F314" s="13" t="n">
        <x:v>50</x:v>
      </x:c>
      <x:c r="G314" t="str">
        <x:f>IF(F314&lt;50,"NL",IF(F314&lt;66.7,"PL","L"))</x:f>
        <x:v>PL</x:v>
      </x:c>
      <x:c r="H314" t="str">
        <x:v>LECTURA__8-G__planilla.xlsx</x:v>
      </x:c>
    </x:row>
    <x:row r="315">
      <x:c r="A315" t="str">
        <x:v>Lectura</x:v>
      </x:c>
      <x:c r="B315" t="str">
        <x:v>2° Ciclo</x:v>
      </x:c>
      <x:c r="C315" t="str">
        <x:v>8° Básico</x:v>
      </x:c>
      <x:c r="D315" t="str">
        <x:v>8°G</x:v>
      </x:c>
      <x:c r="E315" t="str">
        <x:v>Interpretar y relacionar</x:v>
      </x:c>
      <x:c r="F315" s="13" t="n">
        <x:v>48.9</x:v>
      </x:c>
      <x:c r="G315" t="str">
        <x:f>IF(F315&lt;50,"NL",IF(F315&lt;66.7,"PL","L"))</x:f>
        <x:v>NL</x:v>
      </x:c>
      <x:c r="H315" t="str">
        <x:v>LECTURA__8-G__planilla.xlsx</x:v>
      </x:c>
    </x:row>
    <x:row r="316">
      <x:c r="A316" t="str">
        <x:v>Lectura</x:v>
      </x:c>
      <x:c r="B316" t="str">
        <x:v>2° Ciclo</x:v>
      </x:c>
      <x:c r="C316" t="str">
        <x:v>8° Básico</x:v>
      </x:c>
      <x:c r="D316" t="str">
        <x:v>8°G</x:v>
      </x:c>
      <x:c r="E316" t="str">
        <x:v>Reflexionar</x:v>
      </x:c>
      <x:c r="F316" s="13" t="n">
        <x:v>39.4</x:v>
      </x:c>
      <x:c r="G316" t="str">
        <x:f>IF(F316&lt;50,"NL",IF(F316&lt;66.7,"PL","L"))</x:f>
        <x:v>NL</x:v>
      </x:c>
      <x:c r="H316" t="str">
        <x:v>LECTURA__8-G__planilla.xlsx</x:v>
      </x:c>
    </x:row>
    <x:row r="317">
      <x:c r="A317" t="str">
        <x:v>Lectura</x:v>
      </x:c>
      <x:c r="B317" t="str">
        <x:v>Ens. Media</x:v>
      </x:c>
      <x:c r="C317" t="str">
        <x:v>I° Medio</x:v>
      </x:c>
      <x:c r="D317" t="str">
        <x:v>I A</x:v>
      </x:c>
      <x:c r="E317" t="str">
        <x:v>Localizar</x:v>
      </x:c>
      <x:c r="F317" s="13" t="n">
        <x:v>75</x:v>
      </x:c>
      <x:c r="G317" t="str">
        <x:f>IF(F317&lt;50,"NL",IF(F317&lt;66.7,"PL","L"))</x:f>
        <x:v>L</x:v>
      </x:c>
      <x:c r="H317" t="str">
        <x:v>LECTURA__I-A (HC-310)__planilla.xlsx</x:v>
      </x:c>
    </x:row>
    <x:row r="318">
      <x:c r="A318" t="str">
        <x:v>Lectura</x:v>
      </x:c>
      <x:c r="B318" t="str">
        <x:v>Ens. Media</x:v>
      </x:c>
      <x:c r="C318" t="str">
        <x:v>I° Medio</x:v>
      </x:c>
      <x:c r="D318" t="str">
        <x:v>I A</x:v>
      </x:c>
      <x:c r="E318" t="str">
        <x:v>Interpretar y relacionar</x:v>
      </x:c>
      <x:c r="F318" s="13" t="n">
        <x:v>74.5</x:v>
      </x:c>
      <x:c r="G318" t="str">
        <x:f>IF(F318&lt;50,"NL",IF(F318&lt;66.7,"PL","L"))</x:f>
        <x:v>L</x:v>
      </x:c>
      <x:c r="H318" t="str">
        <x:v>LECTURA__I-A (HC-310)__planilla.xlsx</x:v>
      </x:c>
    </x:row>
    <x:row r="319">
      <x:c r="A319" t="str">
        <x:v>Lectura</x:v>
      </x:c>
      <x:c r="B319" t="str">
        <x:v>Ens. Media</x:v>
      </x:c>
      <x:c r="C319" t="str">
        <x:v>I° Medio</x:v>
      </x:c>
      <x:c r="D319" t="str">
        <x:v>I A</x:v>
      </x:c>
      <x:c r="E319" t="str">
        <x:v>Reflexionar</x:v>
      </x:c>
      <x:c r="F319" s="13" t="n">
        <x:v>61</x:v>
      </x:c>
      <x:c r="G319" t="str">
        <x:f>IF(F319&lt;50,"NL",IF(F319&lt;66.7,"PL","L"))</x:f>
        <x:v>PL</x:v>
      </x:c>
      <x:c r="H319" t="str">
        <x:v>LECTURA__I-A (HC-310)__planilla.xlsx</x:v>
      </x:c>
    </x:row>
    <x:row r="320">
      <x:c r="A320" t="str">
        <x:v>Matemática</x:v>
      </x:c>
      <x:c r="B320" t="str">
        <x:v>Ens. Media</x:v>
      </x:c>
      <x:c r="C320" t="str">
        <x:v>I° Medio</x:v>
      </x:c>
      <x:c r="D320" t="str">
        <x:v>I A</x:v>
      </x:c>
      <x:c r="E320" t="str">
        <x:v>Números</x:v>
      </x:c>
      <x:c r="F320" s="13" t="n">
        <x:v>58.5</x:v>
      </x:c>
      <x:c r="G320" t="str">
        <x:f>IF(F320&lt;50,"NL",IF(F320&lt;66.7,"PL","L"))</x:f>
        <x:v>PL</x:v>
      </x:c>
      <x:c r="H320" t="str">
        <x:v>MATEMATICA__I-A (HC-310)__planilla.xlsx</x:v>
      </x:c>
    </x:row>
    <x:row r="321">
      <x:c r="A321" t="str">
        <x:v>Matemática</x:v>
      </x:c>
      <x:c r="B321" t="str">
        <x:v>Ens. Media</x:v>
      </x:c>
      <x:c r="C321" t="str">
        <x:v>I° Medio</x:v>
      </x:c>
      <x:c r="D321" t="str">
        <x:v>I A</x:v>
      </x:c>
      <x:c r="E321" t="str">
        <x:v>Álgebra y funciones</x:v>
      </x:c>
      <x:c r="F321" s="13" t="n">
        <x:v>53.1</x:v>
      </x:c>
      <x:c r="G321" t="str">
        <x:f>IF(F321&lt;50,"NL",IF(F321&lt;66.7,"PL","L"))</x:f>
        <x:v>PL</x:v>
      </x:c>
      <x:c r="H321" t="str">
        <x:v>MATEMATICA__I-A (HC-310)__planilla.xlsx</x:v>
      </x:c>
    </x:row>
    <x:row r="322">
      <x:c r="A322" t="str">
        <x:v>Matemática</x:v>
      </x:c>
      <x:c r="B322" t="str">
        <x:v>Ens. Media</x:v>
      </x:c>
      <x:c r="C322" t="str">
        <x:v>I° Medio</x:v>
      </x:c>
      <x:c r="D322" t="str">
        <x:v>I A</x:v>
      </x:c>
      <x:c r="E322" t="str">
        <x:v>Geometría</x:v>
      </x:c>
      <x:c r="F322" s="13" t="n">
        <x:v>46.5</x:v>
      </x:c>
      <x:c r="G322" t="str">
        <x:f>IF(F322&lt;50,"NL",IF(F322&lt;66.7,"PL","L"))</x:f>
        <x:v>NL</x:v>
      </x:c>
      <x:c r="H322" t="str">
        <x:v>MATEMATICA__I-A (HC-310)__planilla.xlsx</x:v>
      </x:c>
    </x:row>
    <x:row r="323">
      <x:c r="A323" t="str">
        <x:v>Matemática</x:v>
      </x:c>
      <x:c r="B323" t="str">
        <x:v>Ens. Media</x:v>
      </x:c>
      <x:c r="C323" t="str">
        <x:v>I° Medio</x:v>
      </x:c>
      <x:c r="D323" t="str">
        <x:v>I A</x:v>
      </x:c>
      <x:c r="E323" t="str">
        <x:v>Probabilidad y estadística</x:v>
      </x:c>
      <x:c r="F323" s="13" t="n">
        <x:v>44.1</x:v>
      </x:c>
      <x:c r="G323" t="str">
        <x:f>IF(F323&lt;50,"NL",IF(F323&lt;66.7,"PL","L"))</x:f>
        <x:v>NL</x:v>
      </x:c>
      <x:c r="H323" t="str">
        <x:v>MATEMATICA__I-A (HC-310)__planilla.xlsx</x:v>
      </x:c>
    </x:row>
    <x:row r="324">
      <x:c r="A324" t="str">
        <x:v>Lectura</x:v>
      </x:c>
      <x:c r="B324" t="str">
        <x:v>Ens. Media</x:v>
      </x:c>
      <x:c r="C324" t="str">
        <x:v>I° Medio</x:v>
      </x:c>
      <x:c r="D324" t="str">
        <x:v>I B</x:v>
      </x:c>
      <x:c r="E324" t="str">
        <x:v>Localizar</x:v>
      </x:c>
      <x:c r="F324" s="13" t="n">
        <x:v>70</x:v>
      </x:c>
      <x:c r="G324" t="str">
        <x:f>IF(F324&lt;50,"NL",IF(F324&lt;66.7,"PL","L"))</x:f>
        <x:v>L</x:v>
      </x:c>
      <x:c r="H324" t="str">
        <x:v>LECTURA__I-B (HC-310)__planilla.xlsx</x:v>
      </x:c>
    </x:row>
    <x:row r="325">
      <x:c r="A325" t="str">
        <x:v>Lectura</x:v>
      </x:c>
      <x:c r="B325" t="str">
        <x:v>Ens. Media</x:v>
      </x:c>
      <x:c r="C325" t="str">
        <x:v>I° Medio</x:v>
      </x:c>
      <x:c r="D325" t="str">
        <x:v>I B</x:v>
      </x:c>
      <x:c r="E325" t="str">
        <x:v>Interpretar y relacionar</x:v>
      </x:c>
      <x:c r="F325" s="13" t="n">
        <x:v>67.7</x:v>
      </x:c>
      <x:c r="G325" t="str">
        <x:f>IF(F325&lt;50,"NL",IF(F325&lt;66.7,"PL","L"))</x:f>
        <x:v>L</x:v>
      </x:c>
      <x:c r="H325" t="str">
        <x:v>LECTURA__I-B (HC-310)__planilla.xlsx</x:v>
      </x:c>
    </x:row>
    <x:row r="326">
      <x:c r="A326" t="str">
        <x:v>Lectura</x:v>
      </x:c>
      <x:c r="B326" t="str">
        <x:v>Ens. Media</x:v>
      </x:c>
      <x:c r="C326" t="str">
        <x:v>I° Medio</x:v>
      </x:c>
      <x:c r="D326" t="str">
        <x:v>I B</x:v>
      </x:c>
      <x:c r="E326" t="str">
        <x:v>Reflexionar</x:v>
      </x:c>
      <x:c r="F326" s="13" t="n">
        <x:v>56.4</x:v>
      </x:c>
      <x:c r="G326" t="str">
        <x:f>IF(F326&lt;50,"NL",IF(F326&lt;66.7,"PL","L"))</x:f>
        <x:v>PL</x:v>
      </x:c>
      <x:c r="H326" t="str">
        <x:v>LECTURA__I-B (HC-310)__planilla.xlsx</x:v>
      </x:c>
    </x:row>
    <x:row r="327">
      <x:c r="A327" t="str">
        <x:v>Matemática</x:v>
      </x:c>
      <x:c r="B327" t="str">
        <x:v>Ens. Media</x:v>
      </x:c>
      <x:c r="C327" t="str">
        <x:v>I° Medio</x:v>
      </x:c>
      <x:c r="D327" t="str">
        <x:v>I B</x:v>
      </x:c>
      <x:c r="E327" t="str">
        <x:v>Números</x:v>
      </x:c>
      <x:c r="F327" s="13" t="n">
        <x:v>48.7</x:v>
      </x:c>
      <x:c r="G327" t="str">
        <x:f>IF(F327&lt;50,"NL",IF(F327&lt;66.7,"PL","L"))</x:f>
        <x:v>NL</x:v>
      </x:c>
      <x:c r="H327" t="str">
        <x:v>MATEMATICA__I-B (HC-310)__planilla.xlsx</x:v>
      </x:c>
    </x:row>
    <x:row r="328">
      <x:c r="A328" t="str">
        <x:v>Matemática</x:v>
      </x:c>
      <x:c r="B328" t="str">
        <x:v>Ens. Media</x:v>
      </x:c>
      <x:c r="C328" t="str">
        <x:v>I° Medio</x:v>
      </x:c>
      <x:c r="D328" t="str">
        <x:v>I B</x:v>
      </x:c>
      <x:c r="E328" t="str">
        <x:v>Álgebra y funciones</x:v>
      </x:c>
      <x:c r="F328" s="13" t="n">
        <x:v>53.4</x:v>
      </x:c>
      <x:c r="G328" t="str">
        <x:f>IF(F328&lt;50,"NL",IF(F328&lt;66.7,"PL","L"))</x:f>
        <x:v>PL</x:v>
      </x:c>
      <x:c r="H328" t="str">
        <x:v>MATEMATICA__I-B (HC-310)__planilla.xlsx</x:v>
      </x:c>
    </x:row>
    <x:row r="329">
      <x:c r="A329" t="str">
        <x:v>Matemática</x:v>
      </x:c>
      <x:c r="B329" t="str">
        <x:v>Ens. Media</x:v>
      </x:c>
      <x:c r="C329" t="str">
        <x:v>I° Medio</x:v>
      </x:c>
      <x:c r="D329" t="str">
        <x:v>I B</x:v>
      </x:c>
      <x:c r="E329" t="str">
        <x:v>Geometría</x:v>
      </x:c>
      <x:c r="F329" s="13" t="n">
        <x:v>39.6</x:v>
      </x:c>
      <x:c r="G329" t="str">
        <x:f>IF(F329&lt;50,"NL",IF(F329&lt;66.7,"PL","L"))</x:f>
        <x:v>NL</x:v>
      </x:c>
      <x:c r="H329" t="str">
        <x:v>MATEMATICA__I-B (HC-310)__planilla.xlsx</x:v>
      </x:c>
    </x:row>
    <x:row r="330">
      <x:c r="A330" t="str">
        <x:v>Matemática</x:v>
      </x:c>
      <x:c r="B330" t="str">
        <x:v>Ens. Media</x:v>
      </x:c>
      <x:c r="C330" t="str">
        <x:v>I° Medio</x:v>
      </x:c>
      <x:c r="D330" t="str">
        <x:v>I B</x:v>
      </x:c>
      <x:c r="E330" t="str">
        <x:v>Probabilidad y estadística</x:v>
      </x:c>
      <x:c r="F330" s="13" t="n">
        <x:v>36.8</x:v>
      </x:c>
      <x:c r="G330" t="str">
        <x:f>IF(F330&lt;50,"NL",IF(F330&lt;66.7,"PL","L"))</x:f>
        <x:v>NL</x:v>
      </x:c>
      <x:c r="H330" t="str">
        <x:v>MATEMATICA__I-B (HC-310)__planilla.xlsx</x:v>
      </x:c>
    </x:row>
    <x:row r="331">
      <x:c r="A331" t="str">
        <x:v>Lectura</x:v>
      </x:c>
      <x:c r="B331" t="str">
        <x:v>Ens. Media</x:v>
      </x:c>
      <x:c r="C331" t="str">
        <x:v>I° Medio</x:v>
      </x:c>
      <x:c r="D331" t="str">
        <x:v>I C</x:v>
      </x:c>
      <x:c r="E331" t="str">
        <x:v>Localizar</x:v>
      </x:c>
      <x:c r="F331" s="13" t="n">
        <x:v>71.2</x:v>
      </x:c>
      <x:c r="G331" t="str">
        <x:f>IF(F331&lt;50,"NL",IF(F331&lt;66.7,"PL","L"))</x:f>
        <x:v>L</x:v>
      </x:c>
      <x:c r="H331" t="str">
        <x:v>LECTURA__I-C (HC-310)__planilla.xlsx</x:v>
      </x:c>
    </x:row>
    <x:row r="332">
      <x:c r="A332" t="str">
        <x:v>Lectura</x:v>
      </x:c>
      <x:c r="B332" t="str">
        <x:v>Ens. Media</x:v>
      </x:c>
      <x:c r="C332" t="str">
        <x:v>I° Medio</x:v>
      </x:c>
      <x:c r="D332" t="str">
        <x:v>I C</x:v>
      </x:c>
      <x:c r="E332" t="str">
        <x:v>Interpretar y relacionar</x:v>
      </x:c>
      <x:c r="F332" s="13" t="n">
        <x:v>71.9</x:v>
      </x:c>
      <x:c r="G332" t="str">
        <x:f>IF(F332&lt;50,"NL",IF(F332&lt;66.7,"PL","L"))</x:f>
        <x:v>L</x:v>
      </x:c>
      <x:c r="H332" t="str">
        <x:v>LECTURA__I-C (HC-310)__planilla.xlsx</x:v>
      </x:c>
    </x:row>
    <x:row r="333">
      <x:c r="A333" t="str">
        <x:v>Lectura</x:v>
      </x:c>
      <x:c r="B333" t="str">
        <x:v>Ens. Media</x:v>
      </x:c>
      <x:c r="C333" t="str">
        <x:v>I° Medio</x:v>
      </x:c>
      <x:c r="D333" t="str">
        <x:v>I C</x:v>
      </x:c>
      <x:c r="E333" t="str">
        <x:v>Reflexionar</x:v>
      </x:c>
      <x:c r="F333" s="13" t="n">
        <x:v>62.6</x:v>
      </x:c>
      <x:c r="G333" t="str">
        <x:f>IF(F333&lt;50,"NL",IF(F333&lt;66.7,"PL","L"))</x:f>
        <x:v>PL</x:v>
      </x:c>
      <x:c r="H333" t="str">
        <x:v>LECTURA__I-C (HC-310)__planilla.xlsx</x:v>
      </x:c>
    </x:row>
    <x:row r="334">
      <x:c r="A334" t="str">
        <x:v>Matemática</x:v>
      </x:c>
      <x:c r="B334" t="str">
        <x:v>Ens. Media</x:v>
      </x:c>
      <x:c r="C334" t="str">
        <x:v>I° Medio</x:v>
      </x:c>
      <x:c r="D334" t="str">
        <x:v>I C</x:v>
      </x:c>
      <x:c r="E334" t="str">
        <x:v>Números</x:v>
      </x:c>
      <x:c r="F334" s="13" t="n">
        <x:v>55.2</x:v>
      </x:c>
      <x:c r="G334" t="str">
        <x:f>IF(F334&lt;50,"NL",IF(F334&lt;66.7,"PL","L"))</x:f>
        <x:v>PL</x:v>
      </x:c>
      <x:c r="H334" t="str">
        <x:v>MATEMATICA__I-C (HC-310)__planilla.xlsx</x:v>
      </x:c>
    </x:row>
    <x:row r="335">
      <x:c r="A335" t="str">
        <x:v>Matemática</x:v>
      </x:c>
      <x:c r="B335" t="str">
        <x:v>Ens. Media</x:v>
      </x:c>
      <x:c r="C335" t="str">
        <x:v>I° Medio</x:v>
      </x:c>
      <x:c r="D335" t="str">
        <x:v>I C</x:v>
      </x:c>
      <x:c r="E335" t="str">
        <x:v>Álgebra y funciones</x:v>
      </x:c>
      <x:c r="F335" s="13" t="n">
        <x:v>64.1</x:v>
      </x:c>
      <x:c r="G335" t="str">
        <x:f>IF(F335&lt;50,"NL",IF(F335&lt;66.7,"PL","L"))</x:f>
        <x:v>PL</x:v>
      </x:c>
      <x:c r="H335" t="str">
        <x:v>MATEMATICA__I-C (HC-310)__planilla.xlsx</x:v>
      </x:c>
    </x:row>
    <x:row r="336">
      <x:c r="A336" t="str">
        <x:v>Matemática</x:v>
      </x:c>
      <x:c r="B336" t="str">
        <x:v>Ens. Media</x:v>
      </x:c>
      <x:c r="C336" t="str">
        <x:v>I° Medio</x:v>
      </x:c>
      <x:c r="D336" t="str">
        <x:v>I C</x:v>
      </x:c>
      <x:c r="E336" t="str">
        <x:v>Geometría</x:v>
      </x:c>
      <x:c r="F336" s="13" t="n">
        <x:v>58.4</x:v>
      </x:c>
      <x:c r="G336" t="str">
        <x:f>IF(F336&lt;50,"NL",IF(F336&lt;66.7,"PL","L"))</x:f>
        <x:v>PL</x:v>
      </x:c>
      <x:c r="H336" t="str">
        <x:v>MATEMATICA__I-C (HC-310)__planilla.xlsx</x:v>
      </x:c>
    </x:row>
    <x:row r="337">
      <x:c r="A337" t="str">
        <x:v>Matemática</x:v>
      </x:c>
      <x:c r="B337" t="str">
        <x:v>Ens. Media</x:v>
      </x:c>
      <x:c r="C337" t="str">
        <x:v>I° Medio</x:v>
      </x:c>
      <x:c r="D337" t="str">
        <x:v>I C</x:v>
      </x:c>
      <x:c r="E337" t="str">
        <x:v>Probabilidad y estadística</x:v>
      </x:c>
      <x:c r="F337" s="13" t="n">
        <x:v>55.4</x:v>
      </x:c>
      <x:c r="G337" t="str">
        <x:f>IF(F337&lt;50,"NL",IF(F337&lt;66.7,"PL","L"))</x:f>
        <x:v>PL</x:v>
      </x:c>
      <x:c r="H337" t="str">
        <x:v>MATEMATICA__I-C (HC-310)__planilla.xlsx</x:v>
      </x:c>
    </x:row>
    <x:row r="338">
      <x:c r="A338" t="str">
        <x:v>Lectura</x:v>
      </x:c>
      <x:c r="B338" t="str">
        <x:v>Ens. Media</x:v>
      </x:c>
      <x:c r="C338" t="str">
        <x:v>I° Medio</x:v>
      </x:c>
      <x:c r="D338" t="str">
        <x:v>I D</x:v>
      </x:c>
      <x:c r="E338" t="str">
        <x:v>Localizar</x:v>
      </x:c>
      <x:c r="F338" s="13" t="n">
        <x:v>76.4</x:v>
      </x:c>
      <x:c r="G338" t="str">
        <x:f>IF(F338&lt;50,"NL",IF(F338&lt;66.7,"PL","L"))</x:f>
        <x:v>L</x:v>
      </x:c>
      <x:c r="H338" t="str">
        <x:v>LECTURA__I-D (HC-310)__planilla.xlsx</x:v>
      </x:c>
    </x:row>
    <x:row r="339">
      <x:c r="A339" t="str">
        <x:v>Lectura</x:v>
      </x:c>
      <x:c r="B339" t="str">
        <x:v>Ens. Media</x:v>
      </x:c>
      <x:c r="C339" t="str">
        <x:v>I° Medio</x:v>
      </x:c>
      <x:c r="D339" t="str">
        <x:v>I D</x:v>
      </x:c>
      <x:c r="E339" t="str">
        <x:v>Interpretar y relacionar</x:v>
      </x:c>
      <x:c r="F339" s="13" t="n">
        <x:v>74.6</x:v>
      </x:c>
      <x:c r="G339" t="str">
        <x:f>IF(F339&lt;50,"NL",IF(F339&lt;66.7,"PL","L"))</x:f>
        <x:v>L</x:v>
      </x:c>
      <x:c r="H339" t="str">
        <x:v>LECTURA__I-D (HC-310)__planilla.xlsx</x:v>
      </x:c>
    </x:row>
    <x:row r="340">
      <x:c r="A340" t="str">
        <x:v>Lectura</x:v>
      </x:c>
      <x:c r="B340" t="str">
        <x:v>Ens. Media</x:v>
      </x:c>
      <x:c r="C340" t="str">
        <x:v>I° Medio</x:v>
      </x:c>
      <x:c r="D340" t="str">
        <x:v>I D</x:v>
      </x:c>
      <x:c r="E340" t="str">
        <x:v>Reflexionar</x:v>
      </x:c>
      <x:c r="F340" s="13" t="n">
        <x:v>62.5</x:v>
      </x:c>
      <x:c r="G340" t="str">
        <x:f>IF(F340&lt;50,"NL",IF(F340&lt;66.7,"PL","L"))</x:f>
        <x:v>PL</x:v>
      </x:c>
      <x:c r="H340" t="str">
        <x:v>LECTURA__I-D (HC-310)__planilla.xlsx</x:v>
      </x:c>
    </x:row>
    <x:row r="341">
      <x:c r="A341" t="str">
        <x:v>Matemática</x:v>
      </x:c>
      <x:c r="B341" t="str">
        <x:v>Ens. Media</x:v>
      </x:c>
      <x:c r="C341" t="str">
        <x:v>I° Medio</x:v>
      </x:c>
      <x:c r="D341" t="str">
        <x:v>I D</x:v>
      </x:c>
      <x:c r="E341" t="str">
        <x:v>Números</x:v>
      </x:c>
      <x:c r="F341" s="13" t="n">
        <x:v>64.3</x:v>
      </x:c>
      <x:c r="G341" t="str">
        <x:f>IF(F341&lt;50,"NL",IF(F341&lt;66.7,"PL","L"))</x:f>
        <x:v>PL</x:v>
      </x:c>
      <x:c r="H341" t="str">
        <x:v>MATEMATICA__I-D (HC-310)__planilla.xlsx</x:v>
      </x:c>
    </x:row>
    <x:row r="342">
      <x:c r="A342" t="str">
        <x:v>Matemática</x:v>
      </x:c>
      <x:c r="B342" t="str">
        <x:v>Ens. Media</x:v>
      </x:c>
      <x:c r="C342" t="str">
        <x:v>I° Medio</x:v>
      </x:c>
      <x:c r="D342" t="str">
        <x:v>I D</x:v>
      </x:c>
      <x:c r="E342" t="str">
        <x:v>Álgebra y funciones</x:v>
      </x:c>
      <x:c r="F342" s="13" t="n">
        <x:v>55.7</x:v>
      </x:c>
      <x:c r="G342" t="str">
        <x:f>IF(F342&lt;50,"NL",IF(F342&lt;66.7,"PL","L"))</x:f>
        <x:v>PL</x:v>
      </x:c>
      <x:c r="H342" t="str">
        <x:v>MATEMATICA__I-D (HC-310)__planilla.xlsx</x:v>
      </x:c>
    </x:row>
    <x:row r="343">
      <x:c r="A343" t="str">
        <x:v>Matemática</x:v>
      </x:c>
      <x:c r="B343" t="str">
        <x:v>Ens. Media</x:v>
      </x:c>
      <x:c r="C343" t="str">
        <x:v>I° Medio</x:v>
      </x:c>
      <x:c r="D343" t="str">
        <x:v>I D</x:v>
      </x:c>
      <x:c r="E343" t="str">
        <x:v>Geometría</x:v>
      </x:c>
      <x:c r="F343" s="13" t="n">
        <x:v>52.4</x:v>
      </x:c>
      <x:c r="G343" t="str">
        <x:f>IF(F343&lt;50,"NL",IF(F343&lt;66.7,"PL","L"))</x:f>
        <x:v>PL</x:v>
      </x:c>
      <x:c r="H343" t="str">
        <x:v>MATEMATICA__I-D (HC-310)__planilla.xlsx</x:v>
      </x:c>
    </x:row>
    <x:row r="344">
      <x:c r="A344" t="str">
        <x:v>Matemática</x:v>
      </x:c>
      <x:c r="B344" t="str">
        <x:v>Ens. Media</x:v>
      </x:c>
      <x:c r="C344" t="str">
        <x:v>I° Medio</x:v>
      </x:c>
      <x:c r="D344" t="str">
        <x:v>I D</x:v>
      </x:c>
      <x:c r="E344" t="str">
        <x:v>Probabilidad y estadística</x:v>
      </x:c>
      <x:c r="F344" s="13" t="n">
        <x:v>58.4</x:v>
      </x:c>
      <x:c r="G344" t="str">
        <x:f>IF(F344&lt;50,"NL",IF(F344&lt;66.7,"PL","L"))</x:f>
        <x:v>PL</x:v>
      </x:c>
      <x:c r="H344" t="str">
        <x:v>MATEMATICA__I-D (HC-310)__planilla.xlsx</x:v>
      </x:c>
    </x:row>
    <x:row r="345">
      <x:c r="A345" t="str">
        <x:v>Lectura</x:v>
      </x:c>
      <x:c r="B345" t="str">
        <x:v>Ens. Media</x:v>
      </x:c>
      <x:c r="C345" t="str">
        <x:v>I° Medio</x:v>
      </x:c>
      <x:c r="D345" t="str">
        <x:v>I G</x:v>
      </x:c>
      <x:c r="E345" t="str">
        <x:v>Localizar</x:v>
      </x:c>
      <x:c r="F345" s="13" t="n">
        <x:v>68.2</x:v>
      </x:c>
      <x:c r="G345" t="str">
        <x:f>IF(F345&lt;50,"NL",IF(F345&lt;66.7,"PL","L"))</x:f>
        <x:v>L</x:v>
      </x:c>
      <x:c r="H345" t="str">
        <x:v>LECTURA__I-G (HC-310)__planilla.xlsx</x:v>
      </x:c>
    </x:row>
    <x:row r="346">
      <x:c r="A346" t="str">
        <x:v>Lectura</x:v>
      </x:c>
      <x:c r="B346" t="str">
        <x:v>Ens. Media</x:v>
      </x:c>
      <x:c r="C346" t="str">
        <x:v>I° Medio</x:v>
      </x:c>
      <x:c r="D346" t="str">
        <x:v>I G</x:v>
      </x:c>
      <x:c r="E346" t="str">
        <x:v>Interpretar y relacionar</x:v>
      </x:c>
      <x:c r="F346" s="13" t="n">
        <x:v>53.3</x:v>
      </x:c>
      <x:c r="G346" t="str">
        <x:f>IF(F346&lt;50,"NL",IF(F346&lt;66.7,"PL","L"))</x:f>
        <x:v>PL</x:v>
      </x:c>
      <x:c r="H346" t="str">
        <x:v>LECTURA__I-G (HC-310)__planilla.xlsx</x:v>
      </x:c>
    </x:row>
    <x:row r="347">
      <x:c r="A347" t="str">
        <x:v>Lectura</x:v>
      </x:c>
      <x:c r="B347" t="str">
        <x:v>Ens. Media</x:v>
      </x:c>
      <x:c r="C347" t="str">
        <x:v>I° Medio</x:v>
      </x:c>
      <x:c r="D347" t="str">
        <x:v>I G</x:v>
      </x:c>
      <x:c r="E347" t="str">
        <x:v>Reflexionar</x:v>
      </x:c>
      <x:c r="F347" s="13" t="n">
        <x:v>48.2</x:v>
      </x:c>
      <x:c r="G347" t="str">
        <x:f>IF(F347&lt;50,"NL",IF(F347&lt;66.7,"PL","L"))</x:f>
        <x:v>NL</x:v>
      </x:c>
      <x:c r="H347" t="str">
        <x:v>LECTURA__I-G (HC-310)__planilla.xlsx</x:v>
      </x:c>
    </x:row>
    <x:row r="348">
      <x:c r="A348" t="str">
        <x:v>Matemática</x:v>
      </x:c>
      <x:c r="B348" t="str">
        <x:v>Ens. Media</x:v>
      </x:c>
      <x:c r="C348" t="str">
        <x:v>I° Medio</x:v>
      </x:c>
      <x:c r="D348" t="str">
        <x:v>I G</x:v>
      </x:c>
      <x:c r="E348" t="str">
        <x:v>Números</x:v>
      </x:c>
      <x:c r="F348" s="13" t="n">
        <x:v>28.6</x:v>
      </x:c>
      <x:c r="G348" t="str">
        <x:f>IF(F348&lt;50,"NL",IF(F348&lt;66.7,"PL","L"))</x:f>
        <x:v>NL</x:v>
      </x:c>
      <x:c r="H348" t="str">
        <x:v>MATEMATICA__I-G (HC-310)__planilla.xlsx</x:v>
      </x:c>
    </x:row>
    <x:row r="349">
      <x:c r="A349" t="str">
        <x:v>Matemática</x:v>
      </x:c>
      <x:c r="B349" t="str">
        <x:v>Ens. Media</x:v>
      </x:c>
      <x:c r="C349" t="str">
        <x:v>I° Medio</x:v>
      </x:c>
      <x:c r="D349" t="str">
        <x:v>I G</x:v>
      </x:c>
      <x:c r="E349" t="str">
        <x:v>Álgebra y funciones</x:v>
      </x:c>
      <x:c r="F349" s="13" t="n">
        <x:v>26.4</x:v>
      </x:c>
      <x:c r="G349" t="str">
        <x:f>IF(F349&lt;50,"NL",IF(F349&lt;66.7,"PL","L"))</x:f>
        <x:v>NL</x:v>
      </x:c>
      <x:c r="H349" t="str">
        <x:v>MATEMATICA__I-G (HC-310)__planilla.xlsx</x:v>
      </x:c>
    </x:row>
    <x:row r="350">
      <x:c r="A350" t="str">
        <x:v>Matemática</x:v>
      </x:c>
      <x:c r="B350" t="str">
        <x:v>Ens. Media</x:v>
      </x:c>
      <x:c r="C350" t="str">
        <x:v>I° Medio</x:v>
      </x:c>
      <x:c r="D350" t="str">
        <x:v>I G</x:v>
      </x:c>
      <x:c r="E350" t="str">
        <x:v>Geometría</x:v>
      </x:c>
      <x:c r="F350" s="13" t="n">
        <x:v>20.7</x:v>
      </x:c>
      <x:c r="G350" t="str">
        <x:f>IF(F350&lt;50,"NL",IF(F350&lt;66.7,"PL","L"))</x:f>
        <x:v>NL</x:v>
      </x:c>
      <x:c r="H350" t="str">
        <x:v>MATEMATICA__I-G (HC-310)__planilla.xlsx</x:v>
      </x:c>
    </x:row>
    <x:row r="351">
      <x:c r="A351" t="str">
        <x:v>Matemática</x:v>
      </x:c>
      <x:c r="B351" t="str">
        <x:v>Ens. Media</x:v>
      </x:c>
      <x:c r="C351" t="str">
        <x:v>I° Medio</x:v>
      </x:c>
      <x:c r="D351" t="str">
        <x:v>I G</x:v>
      </x:c>
      <x:c r="E351" t="str">
        <x:v>Probabilidad y estadística</x:v>
      </x:c>
      <x:c r="F351" s="13" t="n">
        <x:v>33.8</x:v>
      </x:c>
      <x:c r="G351" t="str">
        <x:f>IF(F351&lt;50,"NL",IF(F351&lt;66.7,"PL","L"))</x:f>
        <x:v>NL</x:v>
      </x:c>
      <x:c r="H351" t="str">
        <x:v>MATEMATICA__I-G (HC-310)__planilla.xlsx</x:v>
      </x:c>
    </x:row>
    <x:row r="352">
      <x:c r="A352" t="str">
        <x:v>Lectura</x:v>
      </x:c>
      <x:c r="B352" t="str">
        <x:v>Ens. Media</x:v>
      </x:c>
      <x:c r="C352" t="str">
        <x:v>II° Medio</x:v>
      </x:c>
      <x:c r="D352" t="str">
        <x:v>II A</x:v>
      </x:c>
      <x:c r="E352" t="str">
        <x:v>Localizar</x:v>
      </x:c>
      <x:c r="F352" s="13" t="n">
        <x:v>65</x:v>
      </x:c>
      <x:c r="G352" t="str">
        <x:f>IF(F352&lt;50,"NL",IF(F352&lt;66.7,"PL","L"))</x:f>
        <x:v>PL</x:v>
      </x:c>
      <x:c r="H352" t="str">
        <x:v>LECTURA__II-A (HC-310)__planilla.xlsx</x:v>
      </x:c>
    </x:row>
    <x:row r="353">
      <x:c r="A353" t="str">
        <x:v>Lectura</x:v>
      </x:c>
      <x:c r="B353" t="str">
        <x:v>Ens. Media</x:v>
      </x:c>
      <x:c r="C353" t="str">
        <x:v>II° Medio</x:v>
      </x:c>
      <x:c r="D353" t="str">
        <x:v>II A</x:v>
      </x:c>
      <x:c r="E353" t="str">
        <x:v>Interpretar y relacionar</x:v>
      </x:c>
      <x:c r="F353" s="13" t="n">
        <x:v>62.8</x:v>
      </x:c>
      <x:c r="G353" t="str">
        <x:f>IF(F353&lt;50,"NL",IF(F353&lt;66.7,"PL","L"))</x:f>
        <x:v>PL</x:v>
      </x:c>
      <x:c r="H353" t="str">
        <x:v>LECTURA__II-A (HC-310)__planilla.xlsx</x:v>
      </x:c>
    </x:row>
    <x:row r="354">
      <x:c r="A354" t="str">
        <x:v>Lectura</x:v>
      </x:c>
      <x:c r="B354" t="str">
        <x:v>Ens. Media</x:v>
      </x:c>
      <x:c r="C354" t="str">
        <x:v>II° Medio</x:v>
      </x:c>
      <x:c r="D354" t="str">
        <x:v>II A</x:v>
      </x:c>
      <x:c r="E354" t="str">
        <x:v>Reflexionar</x:v>
      </x:c>
      <x:c r="F354" s="13" t="n">
        <x:v>57.3</x:v>
      </x:c>
      <x:c r="G354" t="str">
        <x:f>IF(F354&lt;50,"NL",IF(F354&lt;66.7,"PL","L"))</x:f>
        <x:v>PL</x:v>
      </x:c>
      <x:c r="H354" t="str">
        <x:v>LECTURA__II-A (HC-310)__planilla.xlsx</x:v>
      </x:c>
    </x:row>
    <x:row r="355">
      <x:c r="A355" t="str">
        <x:v>Matemática</x:v>
      </x:c>
      <x:c r="B355" t="str">
        <x:v>Ens. Media</x:v>
      </x:c>
      <x:c r="C355" t="str">
        <x:v>II° Medio</x:v>
      </x:c>
      <x:c r="D355" t="str">
        <x:v>II A</x:v>
      </x:c>
      <x:c r="E355" t="str">
        <x:v>Números</x:v>
      </x:c>
      <x:c r="F355" s="13" t="n">
        <x:v>41.6</x:v>
      </x:c>
      <x:c r="G355" t="str">
        <x:f>IF(F355&lt;50,"NL",IF(F355&lt;66.7,"PL","L"))</x:f>
        <x:v>NL</x:v>
      </x:c>
      <x:c r="H355" t="str">
        <x:v>MATEMATICA__II-A (HC-310)__planilla.xlsx</x:v>
      </x:c>
    </x:row>
    <x:row r="356">
      <x:c r="A356" t="str">
        <x:v>Matemática</x:v>
      </x:c>
      <x:c r="B356" t="str">
        <x:v>Ens. Media</x:v>
      </x:c>
      <x:c r="C356" t="str">
        <x:v>II° Medio</x:v>
      </x:c>
      <x:c r="D356" t="str">
        <x:v>II A</x:v>
      </x:c>
      <x:c r="E356" t="str">
        <x:v>Álgebra y funciones</x:v>
      </x:c>
      <x:c r="F356" s="13" t="n">
        <x:v>44.5</x:v>
      </x:c>
      <x:c r="G356" t="str">
        <x:f>IF(F356&lt;50,"NL",IF(F356&lt;66.7,"PL","L"))</x:f>
        <x:v>NL</x:v>
      </x:c>
      <x:c r="H356" t="str">
        <x:v>MATEMATICA__II-A (HC-310)__planilla.xlsx</x:v>
      </x:c>
    </x:row>
    <x:row r="357">
      <x:c r="A357" t="str">
        <x:v>Matemática</x:v>
      </x:c>
      <x:c r="B357" t="str">
        <x:v>Ens. Media</x:v>
      </x:c>
      <x:c r="C357" t="str">
        <x:v>II° Medio</x:v>
      </x:c>
      <x:c r="D357" t="str">
        <x:v>II A</x:v>
      </x:c>
      <x:c r="E357" t="str">
        <x:v>Geometría</x:v>
      </x:c>
      <x:c r="F357" s="13" t="n">
        <x:v>34.3</x:v>
      </x:c>
      <x:c r="G357" t="str">
        <x:f>IF(F357&lt;50,"NL",IF(F357&lt;66.7,"PL","L"))</x:f>
        <x:v>NL</x:v>
      </x:c>
      <x:c r="H357" t="str">
        <x:v>MATEMATICA__II-A (HC-310)__planilla.xlsx</x:v>
      </x:c>
    </x:row>
    <x:row r="358">
      <x:c r="A358" t="str">
        <x:v>Matemática</x:v>
      </x:c>
      <x:c r="B358" t="str">
        <x:v>Ens. Media</x:v>
      </x:c>
      <x:c r="C358" t="str">
        <x:v>II° Medio</x:v>
      </x:c>
      <x:c r="D358" t="str">
        <x:v>II A</x:v>
      </x:c>
      <x:c r="E358" t="str">
        <x:v>Probabilidad y estadística</x:v>
      </x:c>
      <x:c r="F358" s="13" t="n">
        <x:v>39.5</x:v>
      </x:c>
      <x:c r="G358" t="str">
        <x:f>IF(F358&lt;50,"NL",IF(F358&lt;66.7,"PL","L"))</x:f>
        <x:v>NL</x:v>
      </x:c>
      <x:c r="H358" t="str">
        <x:v>MATEMATICA__II-A (HC-310)__planilla.xlsx</x:v>
      </x:c>
    </x:row>
    <x:row r="359">
      <x:c r="A359" t="str">
        <x:v>Lectura</x:v>
      </x:c>
      <x:c r="B359" t="str">
        <x:v>Ens. Media</x:v>
      </x:c>
      <x:c r="C359" t="str">
        <x:v>II° Medio</x:v>
      </x:c>
      <x:c r="D359" t="str">
        <x:v>II B</x:v>
      </x:c>
      <x:c r="E359" t="str">
        <x:v>Localizar</x:v>
      </x:c>
      <x:c r="F359" s="13" t="n">
        <x:v>63.9</x:v>
      </x:c>
      <x:c r="G359" t="str">
        <x:f>IF(F359&lt;50,"NL",IF(F359&lt;66.7,"PL","L"))</x:f>
        <x:v>PL</x:v>
      </x:c>
      <x:c r="H359" t="str">
        <x:v>LECTURA__II-B (HC-310)__planilla.xlsx</x:v>
      </x:c>
    </x:row>
    <x:row r="360">
      <x:c r="A360" t="str">
        <x:v>Lectura</x:v>
      </x:c>
      <x:c r="B360" t="str">
        <x:v>Ens. Media</x:v>
      </x:c>
      <x:c r="C360" t="str">
        <x:v>II° Medio</x:v>
      </x:c>
      <x:c r="D360" t="str">
        <x:v>II B</x:v>
      </x:c>
      <x:c r="E360" t="str">
        <x:v>Interpretar y relacionar</x:v>
      </x:c>
      <x:c r="F360" s="13" t="n">
        <x:v>60.3</x:v>
      </x:c>
      <x:c r="G360" t="str">
        <x:f>IF(F360&lt;50,"NL",IF(F360&lt;66.7,"PL","L"))</x:f>
        <x:v>PL</x:v>
      </x:c>
      <x:c r="H360" t="str">
        <x:v>LECTURA__II-B (HC-310)__planilla.xlsx</x:v>
      </x:c>
    </x:row>
    <x:row r="361">
      <x:c r="A361" t="str">
        <x:v>Lectura</x:v>
      </x:c>
      <x:c r="B361" t="str">
        <x:v>Ens. Media</x:v>
      </x:c>
      <x:c r="C361" t="str">
        <x:v>II° Medio</x:v>
      </x:c>
      <x:c r="D361" t="str">
        <x:v>II B</x:v>
      </x:c>
      <x:c r="E361" t="str">
        <x:v>Reflexionar</x:v>
      </x:c>
      <x:c r="F361" s="13" t="n">
        <x:v>55.7</x:v>
      </x:c>
      <x:c r="G361" t="str">
        <x:f>IF(F361&lt;50,"NL",IF(F361&lt;66.7,"PL","L"))</x:f>
        <x:v>PL</x:v>
      </x:c>
      <x:c r="H361" t="str">
        <x:v>LECTURA__II-B (HC-310)__planilla.xlsx</x:v>
      </x:c>
    </x:row>
    <x:row r="362">
      <x:c r="A362" t="str">
        <x:v>Matemática</x:v>
      </x:c>
      <x:c r="B362" t="str">
        <x:v>Ens. Media</x:v>
      </x:c>
      <x:c r="C362" t="str">
        <x:v>II° Medio</x:v>
      </x:c>
      <x:c r="D362" t="str">
        <x:v>II B</x:v>
      </x:c>
      <x:c r="E362" t="str">
        <x:v>Números</x:v>
      </x:c>
      <x:c r="F362" s="13" t="n">
        <x:v>27.6</x:v>
      </x:c>
      <x:c r="G362" t="str">
        <x:f>IF(F362&lt;50,"NL",IF(F362&lt;66.7,"PL","L"))</x:f>
        <x:v>NL</x:v>
      </x:c>
      <x:c r="H362" t="str">
        <x:v>MATEMATICA__II-B (HC-310)__planilla.xlsx</x:v>
      </x:c>
    </x:row>
    <x:row r="363">
      <x:c r="A363" t="str">
        <x:v>Matemática</x:v>
      </x:c>
      <x:c r="B363" t="str">
        <x:v>Ens. Media</x:v>
      </x:c>
      <x:c r="C363" t="str">
        <x:v>II° Medio</x:v>
      </x:c>
      <x:c r="D363" t="str">
        <x:v>II B</x:v>
      </x:c>
      <x:c r="E363" t="str">
        <x:v>Álgebra y funciones</x:v>
      </x:c>
      <x:c r="F363" s="13" t="n">
        <x:v>38.5</x:v>
      </x:c>
      <x:c r="G363" t="str">
        <x:f>IF(F363&lt;50,"NL",IF(F363&lt;66.7,"PL","L"))</x:f>
        <x:v>NL</x:v>
      </x:c>
      <x:c r="H363" t="str">
        <x:v>MATEMATICA__II-B (HC-310)__planilla.xlsx</x:v>
      </x:c>
    </x:row>
    <x:row r="364">
      <x:c r="A364" t="str">
        <x:v>Matemática</x:v>
      </x:c>
      <x:c r="B364" t="str">
        <x:v>Ens. Media</x:v>
      </x:c>
      <x:c r="C364" t="str">
        <x:v>II° Medio</x:v>
      </x:c>
      <x:c r="D364" t="str">
        <x:v>II B</x:v>
      </x:c>
      <x:c r="E364" t="str">
        <x:v>Geometría</x:v>
      </x:c>
      <x:c r="F364" s="13" t="n">
        <x:v>26.7</x:v>
      </x:c>
      <x:c r="G364" t="str">
        <x:f>IF(F364&lt;50,"NL",IF(F364&lt;66.7,"PL","L"))</x:f>
        <x:v>NL</x:v>
      </x:c>
      <x:c r="H364" t="str">
        <x:v>MATEMATICA__II-B (HC-310)__planilla.xlsx</x:v>
      </x:c>
    </x:row>
    <x:row r="365">
      <x:c r="A365" t="str">
        <x:v>Matemática</x:v>
      </x:c>
      <x:c r="B365" t="str">
        <x:v>Ens. Media</x:v>
      </x:c>
      <x:c r="C365" t="str">
        <x:v>II° Medio</x:v>
      </x:c>
      <x:c r="D365" t="str">
        <x:v>II B</x:v>
      </x:c>
      <x:c r="E365" t="str">
        <x:v>Probabilidad y estadística</x:v>
      </x:c>
      <x:c r="F365" s="13" t="n">
        <x:v>28</x:v>
      </x:c>
      <x:c r="G365" t="str">
        <x:f>IF(F365&lt;50,"NL",IF(F365&lt;66.7,"PL","L"))</x:f>
        <x:v>NL</x:v>
      </x:c>
      <x:c r="H365" t="str">
        <x:v>MATEMATICA__II-B (HC-310)__planilla.xlsx</x:v>
      </x:c>
    </x:row>
    <x:row r="366">
      <x:c r="A366" t="str">
        <x:v>Lectura</x:v>
      </x:c>
      <x:c r="B366" t="str">
        <x:v>Ens. Media</x:v>
      </x:c>
      <x:c r="C366" t="str">
        <x:v>II° Medio</x:v>
      </x:c>
      <x:c r="D366" t="str">
        <x:v>II C</x:v>
      </x:c>
      <x:c r="E366" t="str">
        <x:v>Localizar</x:v>
      </x:c>
      <x:c r="F366" s="13" t="n">
        <x:v>64.2</x:v>
      </x:c>
      <x:c r="G366" t="str">
        <x:f>IF(F366&lt;50,"NL",IF(F366&lt;66.7,"PL","L"))</x:f>
        <x:v>PL</x:v>
      </x:c>
      <x:c r="H366" t="str">
        <x:v>LECTURA__II-C (HC-310)__planilla.xlsx</x:v>
      </x:c>
    </x:row>
    <x:row r="367">
      <x:c r="A367" t="str">
        <x:v>Lectura</x:v>
      </x:c>
      <x:c r="B367" t="str">
        <x:v>Ens. Media</x:v>
      </x:c>
      <x:c r="C367" t="str">
        <x:v>II° Medio</x:v>
      </x:c>
      <x:c r="D367" t="str">
        <x:v>II C</x:v>
      </x:c>
      <x:c r="E367" t="str">
        <x:v>Interpretar y relacionar</x:v>
      </x:c>
      <x:c r="F367" s="13" t="n">
        <x:v>65.9</x:v>
      </x:c>
      <x:c r="G367" t="str">
        <x:f>IF(F367&lt;50,"NL",IF(F367&lt;66.7,"PL","L"))</x:f>
        <x:v>PL</x:v>
      </x:c>
      <x:c r="H367" t="str">
        <x:v>LECTURA__II-C (HC-310)__planilla.xlsx</x:v>
      </x:c>
    </x:row>
    <x:row r="368">
      <x:c r="A368" t="str">
        <x:v>Lectura</x:v>
      </x:c>
      <x:c r="B368" t="str">
        <x:v>Ens. Media</x:v>
      </x:c>
      <x:c r="C368" t="str">
        <x:v>II° Medio</x:v>
      </x:c>
      <x:c r="D368" t="str">
        <x:v>II C</x:v>
      </x:c>
      <x:c r="E368" t="str">
        <x:v>Reflexionar</x:v>
      </x:c>
      <x:c r="F368" s="13" t="n">
        <x:v>59.9</x:v>
      </x:c>
      <x:c r="G368" t="str">
        <x:f>IF(F368&lt;50,"NL",IF(F368&lt;66.7,"PL","L"))</x:f>
        <x:v>PL</x:v>
      </x:c>
      <x:c r="H368" t="str">
        <x:v>LECTURA__II-C (HC-310)__planilla.xlsx</x:v>
      </x:c>
    </x:row>
    <x:row r="369">
      <x:c r="A369" t="str">
        <x:v>Matemática</x:v>
      </x:c>
      <x:c r="B369" t="str">
        <x:v>Ens. Media</x:v>
      </x:c>
      <x:c r="C369" t="str">
        <x:v>II° Medio</x:v>
      </x:c>
      <x:c r="D369" t="str">
        <x:v>II C</x:v>
      </x:c>
      <x:c r="E369" t="str">
        <x:v>Números</x:v>
      </x:c>
      <x:c r="F369" s="13" t="n">
        <x:v>48.8</x:v>
      </x:c>
      <x:c r="G369" t="str">
        <x:f>IF(F369&lt;50,"NL",IF(F369&lt;66.7,"PL","L"))</x:f>
        <x:v>NL</x:v>
      </x:c>
      <x:c r="H369" t="str">
        <x:v>MATEMATICA__II-C (HC-310)__planilla.xlsx</x:v>
      </x:c>
    </x:row>
    <x:row r="370">
      <x:c r="A370" t="str">
        <x:v>Matemática</x:v>
      </x:c>
      <x:c r="B370" t="str">
        <x:v>Ens. Media</x:v>
      </x:c>
      <x:c r="C370" t="str">
        <x:v>II° Medio</x:v>
      </x:c>
      <x:c r="D370" t="str">
        <x:v>II C</x:v>
      </x:c>
      <x:c r="E370" t="str">
        <x:v>Álgebra y funciones</x:v>
      </x:c>
      <x:c r="F370" s="13" t="n">
        <x:v>32.9</x:v>
      </x:c>
      <x:c r="G370" t="str">
        <x:f>IF(F370&lt;50,"NL",IF(F370&lt;66.7,"PL","L"))</x:f>
        <x:v>NL</x:v>
      </x:c>
      <x:c r="H370" t="str">
        <x:v>MATEMATICA__II-C (HC-310)__planilla.xlsx</x:v>
      </x:c>
    </x:row>
    <x:row r="371">
      <x:c r="A371" t="str">
        <x:v>Matemática</x:v>
      </x:c>
      <x:c r="B371" t="str">
        <x:v>Ens. Media</x:v>
      </x:c>
      <x:c r="C371" t="str">
        <x:v>II° Medio</x:v>
      </x:c>
      <x:c r="D371" t="str">
        <x:v>II C</x:v>
      </x:c>
      <x:c r="E371" t="str">
        <x:v>Geometría</x:v>
      </x:c>
      <x:c r="F371" s="13" t="n">
        <x:v>14.9</x:v>
      </x:c>
      <x:c r="G371" t="str">
        <x:f>IF(F371&lt;50,"NL",IF(F371&lt;66.7,"PL","L"))</x:f>
        <x:v>NL</x:v>
      </x:c>
      <x:c r="H371" t="str">
        <x:v>MATEMATICA__II-C (HC-310)__planilla.xlsx</x:v>
      </x:c>
    </x:row>
    <x:row r="372">
      <x:c r="A372" t="str">
        <x:v>Matemática</x:v>
      </x:c>
      <x:c r="B372" t="str">
        <x:v>Ens. Media</x:v>
      </x:c>
      <x:c r="C372" t="str">
        <x:v>II° Medio</x:v>
      </x:c>
      <x:c r="D372" t="str">
        <x:v>II C</x:v>
      </x:c>
      <x:c r="E372" t="str">
        <x:v>Probabilidad y estadística</x:v>
      </x:c>
      <x:c r="F372" s="13" t="n">
        <x:v>33.3</x:v>
      </x:c>
      <x:c r="G372" t="str">
        <x:f>IF(F372&lt;50,"NL",IF(F372&lt;66.7,"PL","L"))</x:f>
        <x:v>NL</x:v>
      </x:c>
      <x:c r="H372" t="str">
        <x:v>MATEMATICA__II-C (HC-310)__planilla.xlsx</x:v>
      </x:c>
    </x:row>
    <x:row r="373">
      <x:c r="A373" t="str">
        <x:v>Lectura</x:v>
      </x:c>
      <x:c r="B373" t="str">
        <x:v>Ens. Media</x:v>
      </x:c>
      <x:c r="C373" t="str">
        <x:v>II° Medio</x:v>
      </x:c>
      <x:c r="D373" t="str">
        <x:v>II D</x:v>
      </x:c>
      <x:c r="E373" t="str">
        <x:v>Localizar</x:v>
      </x:c>
      <x:c r="F373" s="13" t="n">
        <x:v>81.5</x:v>
      </x:c>
      <x:c r="G373" t="str">
        <x:f>IF(F373&lt;50,"NL",IF(F373&lt;66.7,"PL","L"))</x:f>
        <x:v>L</x:v>
      </x:c>
      <x:c r="H373" t="str">
        <x:v>LECTURA__II-D (HC-310)__planilla.xlsx</x:v>
      </x:c>
    </x:row>
    <x:row r="374">
      <x:c r="A374" t="str">
        <x:v>Lectura</x:v>
      </x:c>
      <x:c r="B374" t="str">
        <x:v>Ens. Media</x:v>
      </x:c>
      <x:c r="C374" t="str">
        <x:v>II° Medio</x:v>
      </x:c>
      <x:c r="D374" t="str">
        <x:v>II D</x:v>
      </x:c>
      <x:c r="E374" t="str">
        <x:v>Interpretar y relacionar</x:v>
      </x:c>
      <x:c r="F374" s="13" t="n">
        <x:v>66.5</x:v>
      </x:c>
      <x:c r="G374" t="str">
        <x:f>IF(F374&lt;50,"NL",IF(F374&lt;66.7,"PL","L"))</x:f>
        <x:v>PL</x:v>
      </x:c>
      <x:c r="H374" t="str">
        <x:v>LECTURA__II-D (HC-310)__planilla.xlsx</x:v>
      </x:c>
    </x:row>
    <x:row r="375">
      <x:c r="A375" t="str">
        <x:v>Lectura</x:v>
      </x:c>
      <x:c r="B375" t="str">
        <x:v>Ens. Media</x:v>
      </x:c>
      <x:c r="C375" t="str">
        <x:v>II° Medio</x:v>
      </x:c>
      <x:c r="D375" t="str">
        <x:v>II D</x:v>
      </x:c>
      <x:c r="E375" t="str">
        <x:v>Reflexionar</x:v>
      </x:c>
      <x:c r="F375" s="13" t="n">
        <x:v>73.1</x:v>
      </x:c>
      <x:c r="G375" t="str">
        <x:f>IF(F375&lt;50,"NL",IF(F375&lt;66.7,"PL","L"))</x:f>
        <x:v>L</x:v>
      </x:c>
      <x:c r="H375" t="str">
        <x:v>LECTURA__II-D (HC-310)__planilla.xlsx</x:v>
      </x:c>
    </x:row>
    <x:row r="376">
      <x:c r="A376" t="str">
        <x:v>Matemática</x:v>
      </x:c>
      <x:c r="B376" t="str">
        <x:v>Ens. Media</x:v>
      </x:c>
      <x:c r="C376" t="str">
        <x:v>II° Medio</x:v>
      </x:c>
      <x:c r="D376" t="str">
        <x:v>II D</x:v>
      </x:c>
      <x:c r="E376" t="str">
        <x:v>Números</x:v>
      </x:c>
      <x:c r="F376" s="13" t="n">
        <x:v>31.8</x:v>
      </x:c>
      <x:c r="G376" t="str">
        <x:f>IF(F376&lt;50,"NL",IF(F376&lt;66.7,"PL","L"))</x:f>
        <x:v>NL</x:v>
      </x:c>
      <x:c r="H376" t="str">
        <x:v>MATEMATICA__II-D (HC-310)__planilla.xlsx</x:v>
      </x:c>
    </x:row>
    <x:row r="377">
      <x:c r="A377" t="str">
        <x:v>Matemática</x:v>
      </x:c>
      <x:c r="B377" t="str">
        <x:v>Ens. Media</x:v>
      </x:c>
      <x:c r="C377" t="str">
        <x:v>II° Medio</x:v>
      </x:c>
      <x:c r="D377" t="str">
        <x:v>II D</x:v>
      </x:c>
      <x:c r="E377" t="str">
        <x:v>Álgebra y funciones</x:v>
      </x:c>
      <x:c r="F377" s="13" t="n">
        <x:v>24.9</x:v>
      </x:c>
      <x:c r="G377" t="str">
        <x:f>IF(F377&lt;50,"NL",IF(F377&lt;66.7,"PL","L"))</x:f>
        <x:v>NL</x:v>
      </x:c>
      <x:c r="H377" t="str">
        <x:v>MATEMATICA__II-D (HC-310)__planilla.xlsx</x:v>
      </x:c>
    </x:row>
    <x:row r="378">
      <x:c r="A378" t="str">
        <x:v>Matemática</x:v>
      </x:c>
      <x:c r="B378" t="str">
        <x:v>Ens. Media</x:v>
      </x:c>
      <x:c r="C378" t="str">
        <x:v>II° Medio</x:v>
      </x:c>
      <x:c r="D378" t="str">
        <x:v>II D</x:v>
      </x:c>
      <x:c r="E378" t="str">
        <x:v>Geometría</x:v>
      </x:c>
      <x:c r="F378" s="13" t="n">
        <x:v>7.1</x:v>
      </x:c>
      <x:c r="G378" t="str">
        <x:f>IF(F378&lt;50,"NL",IF(F378&lt;66.7,"PL","L"))</x:f>
        <x:v>NL</x:v>
      </x:c>
      <x:c r="H378" t="str">
        <x:v>MATEMATICA__II-D (HC-310)__planilla.xlsx</x:v>
      </x:c>
    </x:row>
    <x:row r="379">
      <x:c r="A379" t="str">
        <x:v>Matemática</x:v>
      </x:c>
      <x:c r="B379" t="str">
        <x:v>Ens. Media</x:v>
      </x:c>
      <x:c r="C379" t="str">
        <x:v>II° Medio</x:v>
      </x:c>
      <x:c r="D379" t="str">
        <x:v>II D</x:v>
      </x:c>
      <x:c r="E379" t="str">
        <x:v>Probabilidad y estadística</x:v>
      </x:c>
      <x:c r="F379" s="13" t="n">
        <x:v>15.8</x:v>
      </x:c>
      <x:c r="G379" t="str">
        <x:f>IF(F379&lt;50,"NL",IF(F379&lt;66.7,"PL","L"))</x:f>
        <x:v>NL</x:v>
      </x:c>
      <x:c r="H379" t="str">
        <x:v>MATEMATICA__II-D (HC-310)__planilla.xlsx</x:v>
      </x:c>
    </x:row>
    <x:row r="380">
      <x:c r="A380" t="str">
        <x:v>Lectura</x:v>
      </x:c>
      <x:c r="B380" t="str">
        <x:v>Ens. Media</x:v>
      </x:c>
      <x:c r="C380" t="str">
        <x:v>II° Medio</x:v>
      </x:c>
      <x:c r="D380" t="str">
        <x:v>II G</x:v>
      </x:c>
      <x:c r="E380" t="str">
        <x:v>Localizar</x:v>
      </x:c>
      <x:c r="F380" s="13" t="n">
        <x:v>61.7</x:v>
      </x:c>
      <x:c r="G380" t="str">
        <x:f>IF(F380&lt;50,"NL",IF(F380&lt;66.7,"PL","L"))</x:f>
        <x:v>PL</x:v>
      </x:c>
      <x:c r="H380" t="str">
        <x:v>LECTURA__II-G (HC-310)__planilla.xlsx</x:v>
      </x:c>
    </x:row>
    <x:row r="381">
      <x:c r="A381" t="str">
        <x:v>Lectura</x:v>
      </x:c>
      <x:c r="B381" t="str">
        <x:v>Ens. Media</x:v>
      </x:c>
      <x:c r="C381" t="str">
        <x:v>II° Medio</x:v>
      </x:c>
      <x:c r="D381" t="str">
        <x:v>II G</x:v>
      </x:c>
      <x:c r="E381" t="str">
        <x:v>Interpretar y relacionar</x:v>
      </x:c>
      <x:c r="F381" s="13" t="n">
        <x:v>55.5</x:v>
      </x:c>
      <x:c r="G381" t="str">
        <x:f>IF(F381&lt;50,"NL",IF(F381&lt;66.7,"PL","L"))</x:f>
        <x:v>PL</x:v>
      </x:c>
      <x:c r="H381" t="str">
        <x:v>LECTURA__II-G (HC-310)__planilla.xlsx</x:v>
      </x:c>
    </x:row>
    <x:row r="382">
      <x:c r="A382" t="str">
        <x:v>Lectura</x:v>
      </x:c>
      <x:c r="B382" t="str">
        <x:v>Ens. Media</x:v>
      </x:c>
      <x:c r="C382" t="str">
        <x:v>II° Medio</x:v>
      </x:c>
      <x:c r="D382" t="str">
        <x:v>II G</x:v>
      </x:c>
      <x:c r="E382" t="str">
        <x:v>Reflexionar</x:v>
      </x:c>
      <x:c r="F382" s="13" t="n">
        <x:v>58.4</x:v>
      </x:c>
      <x:c r="G382" t="str">
        <x:f>IF(F382&lt;50,"NL",IF(F382&lt;66.7,"PL","L"))</x:f>
        <x:v>PL</x:v>
      </x:c>
      <x:c r="H382" t="str">
        <x:v>LECTURA__II-G (HC-310)__planilla.xlsx</x:v>
      </x:c>
    </x:row>
    <x:row r="383">
      <x:c r="A383" t="str">
        <x:v>Matemática</x:v>
      </x:c>
      <x:c r="B383" t="str">
        <x:v>Ens. Media</x:v>
      </x:c>
      <x:c r="C383" t="str">
        <x:v>II° Medio</x:v>
      </x:c>
      <x:c r="D383" t="str">
        <x:v>II G</x:v>
      </x:c>
      <x:c r="E383" t="str">
        <x:v>Números</x:v>
      </x:c>
      <x:c r="F383" s="13" t="n">
        <x:v>36.5</x:v>
      </x:c>
      <x:c r="G383" t="str">
        <x:f>IF(F383&lt;50,"NL",IF(F383&lt;66.7,"PL","L"))</x:f>
        <x:v>NL</x:v>
      </x:c>
      <x:c r="H383" t="str">
        <x:v>MATEMATICA__II-G (HC-310)__planilla.xlsx</x:v>
      </x:c>
    </x:row>
    <x:row r="384">
      <x:c r="A384" t="str">
        <x:v>Matemática</x:v>
      </x:c>
      <x:c r="B384" t="str">
        <x:v>Ens. Media</x:v>
      </x:c>
      <x:c r="C384" t="str">
        <x:v>II° Medio</x:v>
      </x:c>
      <x:c r="D384" t="str">
        <x:v>II G</x:v>
      </x:c>
      <x:c r="E384" t="str">
        <x:v>Álgebra y funciones</x:v>
      </x:c>
      <x:c r="F384" s="13" t="n">
        <x:v>30.2</x:v>
      </x:c>
      <x:c r="G384" t="str">
        <x:f>IF(F384&lt;50,"NL",IF(F384&lt;66.7,"PL","L"))</x:f>
        <x:v>NL</x:v>
      </x:c>
      <x:c r="H384" t="str">
        <x:v>MATEMATICA__II-G (HC-310)__planilla.xlsx</x:v>
      </x:c>
    </x:row>
    <x:row r="385">
      <x:c r="A385" t="str">
        <x:v>Matemática</x:v>
      </x:c>
      <x:c r="B385" t="str">
        <x:v>Ens. Media</x:v>
      </x:c>
      <x:c r="C385" t="str">
        <x:v>II° Medio</x:v>
      </x:c>
      <x:c r="D385" t="str">
        <x:v>II G</x:v>
      </x:c>
      <x:c r="E385" t="str">
        <x:v>Geometría</x:v>
      </x:c>
      <x:c r="F385" s="13" t="n">
        <x:v>25.7</x:v>
      </x:c>
      <x:c r="G385" t="str">
        <x:f>IF(F385&lt;50,"NL",IF(F385&lt;66.7,"PL","L"))</x:f>
        <x:v>NL</x:v>
      </x:c>
      <x:c r="H385" t="str">
        <x:v>MATEMATICA__II-G (HC-310)__planilla.xlsx</x:v>
      </x:c>
    </x:row>
    <x:row r="386">
      <x:c r="A386" t="str">
        <x:v>Matemática</x:v>
      </x:c>
      <x:c r="B386" t="str">
        <x:v>Ens. Media</x:v>
      </x:c>
      <x:c r="C386" t="str">
        <x:v>II° Medio</x:v>
      </x:c>
      <x:c r="D386" t="str">
        <x:v>II G</x:v>
      </x:c>
      <x:c r="E386" t="str">
        <x:v>Probabilidad y estadística</x:v>
      </x:c>
      <x:c r="F386" s="13" t="n">
        <x:v>26.8</x:v>
      </x:c>
      <x:c r="G386" t="str">
        <x:f>IF(F386&lt;50,"NL",IF(F386&lt;66.7,"PL","L"))</x:f>
        <x:v>NL</x:v>
      </x:c>
      <x:c r="H386" t="str">
        <x:v>MATEMATICA__II-G (HC-310)__planilla.xlsx</x:v>
      </x:c>
    </x:row>
  </x:sheetData>
  <x:conditionalFormatting sqref="F2:F386">
    <x:cfRule type="colorScale" priority="1">
      <x:colorScale>
        <x:cfvo type="min"/>
        <x:cfvo type="percentile" val="50"/>
        <x:cfvo type="max"/>
        <x:color rgb="FFFEE2E2"/>
        <x:color rgb="FFFEF3C7"/>
        <x:color rgb="FFD1FAE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2dc45d991164c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5" hidden="0" customWidth="1"/>
    <x:col min="4" max="4" width="10" hidden="0" customWidth="1"/>
    <x:col min="5" max="5" width="13" hidden="0" customWidth="1"/>
    <x:col min="6" max="6" width="12" hidden="0" customWidth="1"/>
    <x:col min="7" max="7" width="9" hidden="0" customWidth="1"/>
  </x:cols>
  <x:sheetData>
    <x:row r="1" ht="26" customHeight="1">
      <x:c r="A1" s="9" t="str">
        <x:v>Área</x:v>
      </x:c>
      <x:c r="B1" s="10" t="str">
        <x:v>Ciclo</x:v>
      </x:c>
      <x:c r="C1" s="10" t="str">
        <x:v>Nivel</x:v>
      </x:c>
      <x:c r="D1" s="10" t="str">
        <x:v>Cursos</x:v>
      </x:c>
      <x:c r="E1" s="10" t="str">
        <x:v>Rendiciones</x:v>
      </x:c>
      <x:c r="F1" s="10" t="str">
        <x:v>Promedio</x:v>
      </x:c>
      <x:c r="G1" s="11" t="str">
        <x:v>Logro</x:v>
      </x:c>
    </x:row>
    <x:row r="2">
      <x:c r="A2" t="str">
        <x:v>Lectura</x:v>
      </x:c>
      <x:c r="B2" t="str">
        <x:v>1° Ciclo</x:v>
      </x:c>
      <x:c r="C2" t="str">
        <x:v>1° Básico</x:v>
      </x:c>
      <x:c r="D2" s="12" t="n">
        <x:f>COUNTIFS('Cursos'!$A$2:$A$106,A2,'Cursos'!$C$2:$C$106,C2)</x:f>
        <x:v>3</x:v>
      </x:c>
      <x:c r="E2" s="12" t="n">
        <x:f>SUMIFS('Cursos'!$E$2:$E$106,'Cursos'!$A$2:$A$106,A2,'Cursos'!$C$2:$C$106,C2)</x:f>
        <x:v>113</x:v>
      </x:c>
      <x:c r="F2" s="13" t="n">
        <x:f>IF(D2=0,"",SUMIFS('Cursos'!$G$2:$G$106,'Cursos'!$A$2:$A$106,A2,'Cursos'!$C$2:$C$106,C2)/D2)</x:f>
        <x:v>59.833333333333336</x:v>
      </x:c>
      <x:c r="G2" t="str">
        <x:f>IF(F2&lt;50,"NL",IF(F2&lt;66.7,"PL","L"))</x:f>
        <x:v>PL</x:v>
      </x:c>
    </x:row>
    <x:row r="3">
      <x:c r="A3" t="str">
        <x:v>Lectura</x:v>
      </x:c>
      <x:c r="B3" t="str">
        <x:v>1° Ciclo</x:v>
      </x:c>
      <x:c r="C3" t="str">
        <x:v>2° Básico</x:v>
      </x:c>
      <x:c r="D3" s="12" t="n">
        <x:f>COUNTIFS('Cursos'!$A$2:$A$106,A3,'Cursos'!$C$2:$C$106,C3)</x:f>
        <x:v>3</x:v>
      </x:c>
      <x:c r="E3" s="12" t="n">
        <x:f>SUMIFS('Cursos'!$E$2:$E$106,'Cursos'!$A$2:$A$106,A3,'Cursos'!$C$2:$C$106,C3)</x:f>
        <x:v>113</x:v>
      </x:c>
      <x:c r="F3" s="13" t="n">
        <x:f>IF(D3=0,"",SUMIFS('Cursos'!$G$2:$G$106,'Cursos'!$A$2:$A$106,A3,'Cursos'!$C$2:$C$106,C3)/D3)</x:f>
        <x:v>62.03333333333333</x:v>
      </x:c>
      <x:c r="G3" t="str">
        <x:f>IF(F3&lt;50,"NL",IF(F3&lt;66.7,"PL","L"))</x:f>
        <x:v>PL</x:v>
      </x:c>
    </x:row>
    <x:row r="4">
      <x:c r="A4" t="str">
        <x:v>Lectura</x:v>
      </x:c>
      <x:c r="B4" t="str">
        <x:v>1° Ciclo</x:v>
      </x:c>
      <x:c r="C4" t="str">
        <x:v>3° Básico</x:v>
      </x:c>
      <x:c r="D4" s="12" t="n">
        <x:f>COUNTIFS('Cursos'!$A$2:$A$106,A4,'Cursos'!$C$2:$C$106,C4)</x:f>
        <x:v>3</x:v>
      </x:c>
      <x:c r="E4" s="12" t="n">
        <x:f>SUMIFS('Cursos'!$E$2:$E$106,'Cursos'!$A$2:$A$106,A4,'Cursos'!$C$2:$C$106,C4)</x:f>
        <x:v>124</x:v>
      </x:c>
      <x:c r="F4" s="13" t="n">
        <x:f>IF(D4=0,"",SUMIFS('Cursos'!$G$2:$G$106,'Cursos'!$A$2:$A$106,A4,'Cursos'!$C$2:$C$106,C4)/D4)</x:f>
        <x:v>55.93333333333334</x:v>
      </x:c>
      <x:c r="G4" t="str">
        <x:f>IF(F4&lt;50,"NL",IF(F4&lt;66.7,"PL","L"))</x:f>
        <x:v>PL</x:v>
      </x:c>
    </x:row>
    <x:row r="5">
      <x:c r="A5" t="str">
        <x:v>Lectura</x:v>
      </x:c>
      <x:c r="B5" t="str">
        <x:v>1° Ciclo</x:v>
      </x:c>
      <x:c r="C5" t="str">
        <x:v>4° Básico</x:v>
      </x:c>
      <x:c r="D5" s="12" t="n">
        <x:f>COUNTIFS('Cursos'!$A$2:$A$106,A5,'Cursos'!$C$2:$C$106,C5)</x:f>
        <x:v>3</x:v>
      </x:c>
      <x:c r="E5" s="12" t="n">
        <x:f>SUMIFS('Cursos'!$E$2:$E$106,'Cursos'!$A$2:$A$106,A5,'Cursos'!$C$2:$C$106,C5)</x:f>
        <x:v>127</x:v>
      </x:c>
      <x:c r="F5" s="13" t="n">
        <x:f>IF(D5=0,"",SUMIFS('Cursos'!$G$2:$G$106,'Cursos'!$A$2:$A$106,A5,'Cursos'!$C$2:$C$106,C5)/D5)</x:f>
        <x:v>59.666666666666664</x:v>
      </x:c>
      <x:c r="G5" t="str">
        <x:f>IF(F5&lt;50,"NL",IF(F5&lt;66.7,"PL","L"))</x:f>
        <x:v>PL</x:v>
      </x:c>
    </x:row>
    <x:row r="6">
      <x:c r="A6" t="str">
        <x:v>Lectura</x:v>
      </x:c>
      <x:c r="B6" t="str">
        <x:v>2° Ciclo</x:v>
      </x:c>
      <x:c r="C6" t="str">
        <x:v>5° Básico</x:v>
      </x:c>
      <x:c r="D6" s="12" t="n">
        <x:f>COUNTIFS('Cursos'!$A$2:$A$106,A6,'Cursos'!$C$2:$C$106,C6)</x:f>
        <x:v>4</x:v>
      </x:c>
      <x:c r="E6" s="12" t="n">
        <x:f>SUMIFS('Cursos'!$E$2:$E$106,'Cursos'!$A$2:$A$106,A6,'Cursos'!$C$2:$C$106,C6)</x:f>
        <x:v>136</x:v>
      </x:c>
      <x:c r="F6" s="13" t="n">
        <x:f>IF(D6=0,"",SUMIFS('Cursos'!$G$2:$G$106,'Cursos'!$A$2:$A$106,A6,'Cursos'!$C$2:$C$106,C6)/D6)</x:f>
        <x:v>46.22500000000001</x:v>
      </x:c>
      <x:c r="G6" t="str">
        <x:f>IF(F6&lt;50,"NL",IF(F6&lt;66.7,"PL","L"))</x:f>
        <x:v>NL</x:v>
      </x:c>
    </x:row>
    <x:row r="7">
      <x:c r="A7" t="str">
        <x:v>Lectura</x:v>
      </x:c>
      <x:c r="B7" t="str">
        <x:v>2° Ciclo</x:v>
      </x:c>
      <x:c r="C7" t="str">
        <x:v>6° Básico</x:v>
      </x:c>
      <x:c r="D7" s="12" t="n">
        <x:f>COUNTIFS('Cursos'!$A$2:$A$106,A7,'Cursos'!$C$2:$C$106,C7)</x:f>
        <x:v>5</x:v>
      </x:c>
      <x:c r="E7" s="12" t="n">
        <x:f>SUMIFS('Cursos'!$E$2:$E$106,'Cursos'!$A$2:$A$106,A7,'Cursos'!$C$2:$C$106,C7)</x:f>
        <x:v>187</x:v>
      </x:c>
      <x:c r="F7" s="13" t="n">
        <x:f>IF(D7=0,"",SUMIFS('Cursos'!$G$2:$G$106,'Cursos'!$A$2:$A$106,A7,'Cursos'!$C$2:$C$106,C7)/D7)</x:f>
        <x:v>55.7</x:v>
      </x:c>
      <x:c r="G7" t="str">
        <x:f>IF(F7&lt;50,"NL",IF(F7&lt;66.7,"PL","L"))</x:f>
        <x:v>PL</x:v>
      </x:c>
    </x:row>
    <x:row r="8">
      <x:c r="A8" t="str">
        <x:v>Lectura</x:v>
      </x:c>
      <x:c r="B8" t="str">
        <x:v>2° Ciclo</x:v>
      </x:c>
      <x:c r="C8" t="str">
        <x:v>7° Básico</x:v>
      </x:c>
      <x:c r="D8" s="12" t="n">
        <x:f>COUNTIFS('Cursos'!$A$2:$A$106,A8,'Cursos'!$C$2:$C$106,C8)</x:f>
        <x:v>4</x:v>
      </x:c>
      <x:c r="E8" s="12" t="n">
        <x:f>SUMIFS('Cursos'!$E$2:$E$106,'Cursos'!$A$2:$A$106,A8,'Cursos'!$C$2:$C$106,C8)</x:f>
        <x:v>127</x:v>
      </x:c>
      <x:c r="F8" s="13" t="n">
        <x:f>IF(D8=0,"",SUMIFS('Cursos'!$G$2:$G$106,'Cursos'!$A$2:$A$106,A8,'Cursos'!$C$2:$C$106,C8)/D8)</x:f>
        <x:v>52.2</x:v>
      </x:c>
      <x:c r="G8" t="str">
        <x:f>IF(F8&lt;50,"NL",IF(F8&lt;66.7,"PL","L"))</x:f>
        <x:v>PL</x:v>
      </x:c>
    </x:row>
    <x:row r="9">
      <x:c r="A9" t="str">
        <x:v>Lectura</x:v>
      </x:c>
      <x:c r="B9" t="str">
        <x:v>2° Ciclo</x:v>
      </x:c>
      <x:c r="C9" t="str">
        <x:v>8° Básico</x:v>
      </x:c>
      <x:c r="D9" s="12" t="n">
        <x:f>COUNTIFS('Cursos'!$A$2:$A$106,A9,'Cursos'!$C$2:$C$106,C9)</x:f>
        <x:v>5</x:v>
      </x:c>
      <x:c r="E9" s="12" t="n">
        <x:f>SUMIFS('Cursos'!$E$2:$E$106,'Cursos'!$A$2:$A$106,A9,'Cursos'!$C$2:$C$106,C9)</x:f>
        <x:v>155</x:v>
      </x:c>
      <x:c r="F9" s="13" t="n">
        <x:f>IF(D9=0,"",SUMIFS('Cursos'!$G$2:$G$106,'Cursos'!$A$2:$A$106,A9,'Cursos'!$C$2:$C$106,C9)/D9)</x:f>
        <x:v>48.43999999999999</x:v>
      </x:c>
      <x:c r="G9" t="str">
        <x:f>IF(F9&lt;50,"NL",IF(F9&lt;66.7,"PL","L"))</x:f>
        <x:v>NL</x:v>
      </x:c>
    </x:row>
    <x:row r="10">
      <x:c r="A10" t="str">
        <x:v>Lectura</x:v>
      </x:c>
      <x:c r="B10" t="str">
        <x:v>Ens. Media</x:v>
      </x:c>
      <x:c r="C10" t="str">
        <x:v>I° Medio</x:v>
      </x:c>
      <x:c r="D10" s="12" t="n">
        <x:f>COUNTIFS('Cursos'!$A$2:$A$106,A10,'Cursos'!$C$2:$C$106,C10)</x:f>
        <x:v>5</x:v>
      </x:c>
      <x:c r="E10" s="12" t="n">
        <x:f>SUMIFS('Cursos'!$E$2:$E$106,'Cursos'!$A$2:$A$106,A10,'Cursos'!$C$2:$C$106,C10)</x:f>
        <x:v>153</x:v>
      </x:c>
      <x:c r="F10" s="13" t="n">
        <x:f>IF(D10=0,"",SUMIFS('Cursos'!$G$2:$G$106,'Cursos'!$A$2:$A$106,A10,'Cursos'!$C$2:$C$106,C10)/D10)</x:f>
        <x:v>66.26</x:v>
      </x:c>
      <x:c r="G10" t="str">
        <x:f>IF(F10&lt;50,"NL",IF(F10&lt;66.7,"PL","L"))</x:f>
        <x:v>PL</x:v>
      </x:c>
    </x:row>
    <x:row r="11">
      <x:c r="A11" t="str">
        <x:v>Lectura</x:v>
      </x:c>
      <x:c r="B11" t="str">
        <x:v>Ens. Media</x:v>
      </x:c>
      <x:c r="C11" t="str">
        <x:v>II° Medio</x:v>
      </x:c>
      <x:c r="D11" s="12" t="n">
        <x:f>COUNTIFS('Cursos'!$A$2:$A$106,A11,'Cursos'!$C$2:$C$106,C11)</x:f>
        <x:v>5</x:v>
      </x:c>
      <x:c r="E11" s="12" t="n">
        <x:f>SUMIFS('Cursos'!$E$2:$E$106,'Cursos'!$A$2:$A$106,A11,'Cursos'!$C$2:$C$106,C11)</x:f>
        <x:v>157</x:v>
      </x:c>
      <x:c r="F11" s="13" t="n">
        <x:f>IF(D11=0,"",SUMIFS('Cursos'!$G$2:$G$106,'Cursos'!$A$2:$A$106,A11,'Cursos'!$C$2:$C$106,C11)/D11)</x:f>
        <x:v>63.44</x:v>
      </x:c>
      <x:c r="G11" t="str">
        <x:f>IF(F11&lt;50,"NL",IF(F11&lt;66.7,"PL","L"))</x:f>
        <x:v>PL</x:v>
      </x:c>
    </x:row>
    <x:row r="12">
      <x:c r="A12" t="str">
        <x:v>Matemática</x:v>
      </x:c>
      <x:c r="B12" t="str">
        <x:v>1° Ciclo</x:v>
      </x:c>
      <x:c r="C12" t="str">
        <x:v>1° Básico</x:v>
      </x:c>
      <x:c r="D12" s="12" t="n">
        <x:f>COUNTIFS('Cursos'!$A$2:$A$106,A12,'Cursos'!$C$2:$C$106,C12)</x:f>
        <x:v>3</x:v>
      </x:c>
      <x:c r="E12" s="12" t="n">
        <x:f>SUMIFS('Cursos'!$E$2:$E$106,'Cursos'!$A$2:$A$106,A12,'Cursos'!$C$2:$C$106,C12)</x:f>
        <x:v>114</x:v>
      </x:c>
      <x:c r="F12" s="13" t="n">
        <x:f>IF(D12=0,"",SUMIFS('Cursos'!$G$2:$G$106,'Cursos'!$A$2:$A$106,A12,'Cursos'!$C$2:$C$106,C12)/D12)</x:f>
        <x:v>72.46666666666667</x:v>
      </x:c>
      <x:c r="G12" t="str">
        <x:f>IF(F12&lt;50,"NL",IF(F12&lt;66.7,"PL","L"))</x:f>
        <x:v>L</x:v>
      </x:c>
    </x:row>
    <x:row r="13">
      <x:c r="A13" t="str">
        <x:v>Matemática</x:v>
      </x:c>
      <x:c r="B13" t="str">
        <x:v>1° Ciclo</x:v>
      </x:c>
      <x:c r="C13" t="str">
        <x:v>2° Básico</x:v>
      </x:c>
      <x:c r="D13" s="12" t="n">
        <x:f>COUNTIFS('Cursos'!$A$2:$A$106,A13,'Cursos'!$C$2:$C$106,C13)</x:f>
        <x:v>3</x:v>
      </x:c>
      <x:c r="E13" s="12" t="n">
        <x:f>SUMIFS('Cursos'!$E$2:$E$106,'Cursos'!$A$2:$A$106,A13,'Cursos'!$C$2:$C$106,C13)</x:f>
        <x:v>116</x:v>
      </x:c>
      <x:c r="F13" s="13" t="n">
        <x:f>IF(D13=0,"",SUMIFS('Cursos'!$G$2:$G$106,'Cursos'!$A$2:$A$106,A13,'Cursos'!$C$2:$C$106,C13)/D13)</x:f>
        <x:v>66.8</x:v>
      </x:c>
      <x:c r="G13" t="str">
        <x:f>IF(F13&lt;50,"NL",IF(F13&lt;66.7,"PL","L"))</x:f>
        <x:v>L</x:v>
      </x:c>
    </x:row>
    <x:row r="14">
      <x:c r="A14" t="str">
        <x:v>Matemática</x:v>
      </x:c>
      <x:c r="B14" t="str">
        <x:v>1° Ciclo</x:v>
      </x:c>
      <x:c r="C14" t="str">
        <x:v>3° Básico</x:v>
      </x:c>
      <x:c r="D14" s="12" t="n">
        <x:f>COUNTIFS('Cursos'!$A$2:$A$106,A14,'Cursos'!$C$2:$C$106,C14)</x:f>
        <x:v>3</x:v>
      </x:c>
      <x:c r="E14" s="12" t="n">
        <x:f>SUMIFS('Cursos'!$E$2:$E$106,'Cursos'!$A$2:$A$106,A14,'Cursos'!$C$2:$C$106,C14)</x:f>
        <x:v>125</x:v>
      </x:c>
      <x:c r="F14" s="13" t="n">
        <x:f>IF(D14=0,"",SUMIFS('Cursos'!$G$2:$G$106,'Cursos'!$A$2:$A$106,A14,'Cursos'!$C$2:$C$106,C14)/D14)</x:f>
        <x:v>49.20000000000001</x:v>
      </x:c>
      <x:c r="G14" t="str">
        <x:f>IF(F14&lt;50,"NL",IF(F14&lt;66.7,"PL","L"))</x:f>
        <x:v>NL</x:v>
      </x:c>
    </x:row>
    <x:row r="15">
      <x:c r="A15" t="str">
        <x:v>Matemática</x:v>
      </x:c>
      <x:c r="B15" t="str">
        <x:v>1° Ciclo</x:v>
      </x:c>
      <x:c r="C15" t="str">
        <x:v>4° Básico</x:v>
      </x:c>
      <x:c r="D15" s="12" t="n">
        <x:f>COUNTIFS('Cursos'!$A$2:$A$106,A15,'Cursos'!$C$2:$C$106,C15)</x:f>
        <x:v>3</x:v>
      </x:c>
      <x:c r="E15" s="12" t="n">
        <x:f>SUMIFS('Cursos'!$E$2:$E$106,'Cursos'!$A$2:$A$106,A15,'Cursos'!$C$2:$C$106,C15)</x:f>
        <x:v>128</x:v>
      </x:c>
      <x:c r="F15" s="13" t="n">
        <x:f>IF(D15=0,"",SUMIFS('Cursos'!$G$2:$G$106,'Cursos'!$A$2:$A$106,A15,'Cursos'!$C$2:$C$106,C15)/D15)</x:f>
        <x:v>44.23333333333333</x:v>
      </x:c>
      <x:c r="G15" t="str">
        <x:f>IF(F15&lt;50,"NL",IF(F15&lt;66.7,"PL","L"))</x:f>
        <x:v>NL</x:v>
      </x:c>
    </x:row>
    <x:row r="16">
      <x:c r="A16" t="str">
        <x:v>Matemática</x:v>
      </x:c>
      <x:c r="B16" t="str">
        <x:v>2° Ciclo</x:v>
      </x:c>
      <x:c r="C16" t="str">
        <x:v>5° Básico</x:v>
      </x:c>
      <x:c r="D16" s="12" t="n">
        <x:f>COUNTIFS('Cursos'!$A$2:$A$106,A16,'Cursos'!$C$2:$C$106,C16)</x:f>
        <x:v>3</x:v>
      </x:c>
      <x:c r="E16" s="12" t="n">
        <x:f>SUMIFS('Cursos'!$E$2:$E$106,'Cursos'!$A$2:$A$106,A16,'Cursos'!$C$2:$C$106,C16)</x:f>
        <x:v>90</x:v>
      </x:c>
      <x:c r="F16" s="13" t="n">
        <x:f>IF(D16=0,"",SUMIFS('Cursos'!$G$2:$G$106,'Cursos'!$A$2:$A$106,A16,'Cursos'!$C$2:$C$106,C16)/D16)</x:f>
        <x:v>34</x:v>
      </x:c>
      <x:c r="G16" t="str">
        <x:f>IF(F16&lt;50,"NL",IF(F16&lt;66.7,"PL","L"))</x:f>
        <x:v>NL</x:v>
      </x:c>
    </x:row>
    <x:row r="17">
      <x:c r="A17" t="str">
        <x:v>Matemática</x:v>
      </x:c>
      <x:c r="B17" t="str">
        <x:v>2° Ciclo</x:v>
      </x:c>
      <x:c r="C17" t="str">
        <x:v>6° Básico</x:v>
      </x:c>
      <x:c r="D17" s="12" t="n">
        <x:f>COUNTIFS('Cursos'!$A$2:$A$106,A17,'Cursos'!$C$2:$C$106,C17)</x:f>
        <x:v>3</x:v>
      </x:c>
      <x:c r="E17" s="12" t="n">
        <x:f>SUMIFS('Cursos'!$E$2:$E$106,'Cursos'!$A$2:$A$106,A17,'Cursos'!$C$2:$C$106,C17)</x:f>
        <x:v>103</x:v>
      </x:c>
      <x:c r="F17" s="13" t="n">
        <x:f>IF(D17=0,"",SUMIFS('Cursos'!$G$2:$G$106,'Cursos'!$A$2:$A$106,A17,'Cursos'!$C$2:$C$106,C17)/D17)</x:f>
        <x:v>29.566666666666666</x:v>
      </x:c>
      <x:c r="G17" t="str">
        <x:f>IF(F17&lt;50,"NL",IF(F17&lt;66.7,"PL","L"))</x:f>
        <x:v>NL</x:v>
      </x:c>
    </x:row>
    <x:row r="18">
      <x:c r="A18" t="str">
        <x:v>Matemática</x:v>
      </x:c>
      <x:c r="B18" t="str">
        <x:v>2° Ciclo</x:v>
      </x:c>
      <x:c r="C18" t="str">
        <x:v>7° Básico</x:v>
      </x:c>
      <x:c r="D18" s="12" t="n">
        <x:f>COUNTIFS('Cursos'!$A$2:$A$106,A18,'Cursos'!$C$2:$C$106,C18)</x:f>
        <x:v>2</x:v>
      </x:c>
      <x:c r="E18" s="12" t="n">
        <x:f>SUMIFS('Cursos'!$E$2:$E$106,'Cursos'!$A$2:$A$106,A18,'Cursos'!$C$2:$C$106,C18)</x:f>
        <x:v>60</x:v>
      </x:c>
      <x:c r="F18" s="13" t="n">
        <x:f>IF(D18=0,"",SUMIFS('Cursos'!$G$2:$G$106,'Cursos'!$A$2:$A$106,A18,'Cursos'!$C$2:$C$106,C18)/D18)</x:f>
        <x:v>33.2</x:v>
      </x:c>
      <x:c r="G18" t="str">
        <x:f>IF(F18&lt;50,"NL",IF(F18&lt;66.7,"PL","L"))</x:f>
        <x:v>NL</x:v>
      </x:c>
    </x:row>
    <x:row r="19">
      <x:c r="A19" t="str">
        <x:v>Matemática</x:v>
      </x:c>
      <x:c r="B19" t="str">
        <x:v>2° Ciclo</x:v>
      </x:c>
      <x:c r="C19" t="str">
        <x:v>8° Básico</x:v>
      </x:c>
      <x:c r="D19" s="12" t="n">
        <x:f>COUNTIFS('Cursos'!$A$2:$A$106,A19,'Cursos'!$C$2:$C$106,C19)</x:f>
        <x:v>4</x:v>
      </x:c>
      <x:c r="E19" s="12" t="n">
        <x:f>SUMIFS('Cursos'!$E$2:$E$106,'Cursos'!$A$2:$A$106,A19,'Cursos'!$C$2:$C$106,C19)</x:f>
        <x:v>127</x:v>
      </x:c>
      <x:c r="F19" s="13" t="n">
        <x:f>IF(D19=0,"",SUMIFS('Cursos'!$G$2:$G$106,'Cursos'!$A$2:$A$106,A19,'Cursos'!$C$2:$C$106,C19)/D19)</x:f>
        <x:v>31.2</x:v>
      </x:c>
      <x:c r="G19" t="str">
        <x:f>IF(F19&lt;50,"NL",IF(F19&lt;66.7,"PL","L"))</x:f>
        <x:v>NL</x:v>
      </x:c>
    </x:row>
    <x:row r="20">
      <x:c r="A20" t="str">
        <x:v>Matemática</x:v>
      </x:c>
      <x:c r="B20" t="str">
        <x:v>Ens. Media</x:v>
      </x:c>
      <x:c r="C20" t="str">
        <x:v>I° Medio</x:v>
      </x:c>
      <x:c r="D20" s="12" t="n">
        <x:f>COUNTIFS('Cursos'!$A$2:$A$106,A20,'Cursos'!$C$2:$C$106,C20)</x:f>
        <x:v>5</x:v>
      </x:c>
      <x:c r="E20" s="12" t="n">
        <x:f>SUMIFS('Cursos'!$E$2:$E$106,'Cursos'!$A$2:$A$106,A20,'Cursos'!$C$2:$C$106,C20)</x:f>
        <x:v>147</x:v>
      </x:c>
      <x:c r="F20" s="13" t="n">
        <x:f>IF(D20=0,"",SUMIFS('Cursos'!$G$2:$G$106,'Cursos'!$A$2:$A$106,A20,'Cursos'!$C$2:$C$106,C20)/D20)</x:f>
        <x:v>47.699999999999996</x:v>
      </x:c>
      <x:c r="G20" t="str">
        <x:f>IF(F20&lt;50,"NL",IF(F20&lt;66.7,"PL","L"))</x:f>
        <x:v>NL</x:v>
      </x:c>
    </x:row>
    <x:row r="21">
      <x:c r="A21" t="str">
        <x:v>Matemática</x:v>
      </x:c>
      <x:c r="B21" t="str">
        <x:v>Ens. Media</x:v>
      </x:c>
      <x:c r="C21" t="str">
        <x:v>II° Medio</x:v>
      </x:c>
      <x:c r="D21" s="12" t="n">
        <x:f>COUNTIFS('Cursos'!$A$2:$A$106,A21,'Cursos'!$C$2:$C$106,C21)</x:f>
        <x:v>5</x:v>
      </x:c>
      <x:c r="E21" s="12" t="n">
        <x:f>SUMIFS('Cursos'!$E$2:$E$106,'Cursos'!$A$2:$A$106,A21,'Cursos'!$C$2:$C$106,C21)</x:f>
        <x:v>161</x:v>
      </x:c>
      <x:c r="F21" s="13" t="n">
        <x:f>IF(D21=0,"",SUMIFS('Cursos'!$G$2:$G$106,'Cursos'!$A$2:$A$106,A21,'Cursos'!$C$2:$C$106,C21)/D21)</x:f>
        <x:v>30.48</x:v>
      </x:c>
      <x:c r="G21" t="str">
        <x:f>IF(F21&lt;50,"NL",IF(F21&lt;66.7,"PL","L"))</x:f>
        <x:v>NL</x:v>
      </x:c>
    </x:row>
    <x:row r="22">
      <x:c r="A22" t="str">
        <x:v>Ciencias Naturales</x:v>
      </x:c>
      <x:c r="B22" t="str">
        <x:v>2° Ciclo</x:v>
      </x:c>
      <x:c r="C22" t="str">
        <x:v>5° Básico</x:v>
      </x:c>
      <x:c r="D22" s="12" t="n">
        <x:f>COUNTIFS('Cursos'!$A$2:$A$106,A22,'Cursos'!$C$2:$C$106,C22)</x:f>
        <x:v>4</x:v>
      </x:c>
      <x:c r="E22" s="12" t="n">
        <x:f>SUMIFS('Cursos'!$E$2:$E$106,'Cursos'!$A$2:$A$106,A22,'Cursos'!$C$2:$C$106,C22)</x:f>
        <x:v>125</x:v>
      </x:c>
      <x:c r="F22" s="13" t="n">
        <x:f>IF(D22=0,"",SUMIFS('Cursos'!$G$2:$G$106,'Cursos'!$A$2:$A$106,A22,'Cursos'!$C$2:$C$106,C22)/D22)</x:f>
        <x:v>49.050000000000004</x:v>
      </x:c>
      <x:c r="G22" t="str">
        <x:f>IF(F22&lt;50,"NL",IF(F22&lt;66.7,"PL","L"))</x:f>
        <x:v>NL</x:v>
      </x:c>
    </x:row>
    <x:row r="23">
      <x:c r="A23" t="str">
        <x:v>Ciencias Naturales</x:v>
      </x:c>
      <x:c r="B23" t="str">
        <x:v>2° Ciclo</x:v>
      </x:c>
      <x:c r="C23" t="str">
        <x:v>6° Básico</x:v>
      </x:c>
      <x:c r="D23" s="12" t="n">
        <x:f>COUNTIFS('Cursos'!$A$2:$A$106,A23,'Cursos'!$C$2:$C$106,C23)</x:f>
        <x:v>4</x:v>
      </x:c>
      <x:c r="E23" s="12" t="n">
        <x:f>SUMIFS('Cursos'!$E$2:$E$106,'Cursos'!$A$2:$A$106,A23,'Cursos'!$C$2:$C$106,C23)</x:f>
        <x:v>130</x:v>
      </x:c>
      <x:c r="F23" s="13" t="n">
        <x:f>IF(D23=0,"",SUMIFS('Cursos'!$G$2:$G$106,'Cursos'!$A$2:$A$106,A23,'Cursos'!$C$2:$C$106,C23)/D23)</x:f>
        <x:v>38.825</x:v>
      </x:c>
      <x:c r="G23" t="str">
        <x:f>IF(F23&lt;50,"NL",IF(F23&lt;66.7,"PL","L"))</x:f>
        <x:v>NL</x:v>
      </x:c>
    </x:row>
    <x:row r="24">
      <x:c r="A24" t="str">
        <x:v>Ciencias Naturales</x:v>
      </x:c>
      <x:c r="B24" t="str">
        <x:v>2° Ciclo</x:v>
      </x:c>
      <x:c r="C24" t="str">
        <x:v>7° Básico</x:v>
      </x:c>
      <x:c r="D24" s="12" t="n">
        <x:f>COUNTIFS('Cursos'!$A$2:$A$106,A24,'Cursos'!$C$2:$C$106,C24)</x:f>
        <x:v>4</x:v>
      </x:c>
      <x:c r="E24" s="12" t="n">
        <x:f>SUMIFS('Cursos'!$E$2:$E$106,'Cursos'!$A$2:$A$106,A24,'Cursos'!$C$2:$C$106,C24)</x:f>
        <x:v>124</x:v>
      </x:c>
      <x:c r="F24" s="13" t="n">
        <x:f>IF(D24=0,"",SUMIFS('Cursos'!$G$2:$G$106,'Cursos'!$A$2:$A$106,A24,'Cursos'!$C$2:$C$106,C24)/D24)</x:f>
        <x:v>37.4</x:v>
      </x:c>
      <x:c r="G24" t="str">
        <x:f>IF(F24&lt;50,"NL",IF(F24&lt;66.7,"PL","L"))</x:f>
        <x:v>NL</x:v>
      </x:c>
    </x:row>
    <x:row r="25">
      <x:c r="A25" t="str">
        <x:v>Ciencias Naturales</x:v>
      </x:c>
      <x:c r="B25" t="str">
        <x:v>2° Ciclo</x:v>
      </x:c>
      <x:c r="C25" t="str">
        <x:v>8° Básico</x:v>
      </x:c>
      <x:c r="D25" s="12" t="n">
        <x:f>COUNTIFS('Cursos'!$A$2:$A$106,A25,'Cursos'!$C$2:$C$106,C25)</x:f>
        <x:v>3</x:v>
      </x:c>
      <x:c r="E25" s="12" t="n">
        <x:f>SUMIFS('Cursos'!$E$2:$E$106,'Cursos'!$A$2:$A$106,A25,'Cursos'!$C$2:$C$106,C25)</x:f>
        <x:v>75</x:v>
      </x:c>
      <x:c r="F25" s="13" t="n">
        <x:f>IF(D25=0,"",SUMIFS('Cursos'!$G$2:$G$106,'Cursos'!$A$2:$A$106,A25,'Cursos'!$C$2:$C$106,C25)/D25)</x:f>
        <x:v>29.566666666666666</x:v>
      </x:c>
      <x:c r="G25" t="str">
        <x:f>IF(F25&lt;50,"NL",IF(F25&lt;66.7,"PL","L"))</x:f>
        <x:v>NL</x:v>
      </x:c>
    </x:row>
    <x:row r="26">
      <x:c r="A26" t="str">
        <x:v>Historia y Cs. Sociales</x:v>
      </x:c>
      <x:c r="B26" t="str">
        <x:v>2° Ciclo</x:v>
      </x:c>
      <x:c r="C26" t="str">
        <x:v>5° Básico</x:v>
      </x:c>
      <x:c r="D26" s="12" t="n">
        <x:f>COUNTIFS('Cursos'!$A$2:$A$106,A26,'Cursos'!$C$2:$C$106,C26)</x:f>
        <x:v>3</x:v>
      </x:c>
      <x:c r="E26" s="12" t="n">
        <x:f>SUMIFS('Cursos'!$E$2:$E$106,'Cursos'!$A$2:$A$106,A26,'Cursos'!$C$2:$C$106,C26)</x:f>
        <x:v>98</x:v>
      </x:c>
      <x:c r="F26" s="13" t="n">
        <x:f>IF(D26=0,"",SUMIFS('Cursos'!$G$2:$G$106,'Cursos'!$A$2:$A$106,A26,'Cursos'!$C$2:$C$106,C26)/D26)</x:f>
        <x:v>39.6</x:v>
      </x:c>
      <x:c r="G26" t="str">
        <x:f>IF(F26&lt;50,"NL",IF(F26&lt;66.7,"PL","L"))</x:f>
        <x:v>NL</x:v>
      </x:c>
    </x:row>
    <x:row r="27">
      <x:c r="A27" t="str">
        <x:v>Historia y Cs. Sociales</x:v>
      </x:c>
      <x:c r="B27" t="str">
        <x:v>2° Ciclo</x:v>
      </x:c>
      <x:c r="C27" t="str">
        <x:v>6° Básico</x:v>
      </x:c>
      <x:c r="D27" s="12" t="n">
        <x:f>COUNTIFS('Cursos'!$A$2:$A$106,A27,'Cursos'!$C$2:$C$106,C27)</x:f>
        <x:v>5</x:v>
      </x:c>
      <x:c r="E27" s="12" t="n">
        <x:f>SUMIFS('Cursos'!$E$2:$E$106,'Cursos'!$A$2:$A$106,A27,'Cursos'!$C$2:$C$106,C27)</x:f>
        <x:v>174</x:v>
      </x:c>
      <x:c r="F27" s="13" t="n">
        <x:f>IF(D27=0,"",SUMIFS('Cursos'!$G$2:$G$106,'Cursos'!$A$2:$A$106,A27,'Cursos'!$C$2:$C$106,C27)/D27)</x:f>
        <x:v>28.919999999999998</x:v>
      </x:c>
      <x:c r="G27" t="str">
        <x:f>IF(F27&lt;50,"NL",IF(F27&lt;66.7,"PL","L"))</x:f>
        <x:v>NL</x:v>
      </x:c>
    </x:row>
    <x:row r="28">
      <x:c r="A28" t="str">
        <x:v>Historia y Cs. Sociales</x:v>
      </x:c>
      <x:c r="B28" t="str">
        <x:v>2° Ciclo</x:v>
      </x:c>
      <x:c r="C28" t="str">
        <x:v>7° Básico</x:v>
      </x:c>
      <x:c r="D28" s="12" t="n">
        <x:f>COUNTIFS('Cursos'!$A$2:$A$106,A28,'Cursos'!$C$2:$C$106,C28)</x:f>
        <x:v>4</x:v>
      </x:c>
      <x:c r="E28" s="12" t="n">
        <x:f>SUMIFS('Cursos'!$E$2:$E$106,'Cursos'!$A$2:$A$106,A28,'Cursos'!$C$2:$C$106,C28)</x:f>
        <x:v>128</x:v>
      </x:c>
      <x:c r="F28" s="13" t="n">
        <x:f>IF(D28=0,"",SUMIFS('Cursos'!$G$2:$G$106,'Cursos'!$A$2:$A$106,A28,'Cursos'!$C$2:$C$106,C28)/D28)</x:f>
        <x:v>43.724999999999994</x:v>
      </x:c>
      <x:c r="G28" t="str">
        <x:f>IF(F28&lt;50,"NL",IF(F28&lt;66.7,"PL","L"))</x:f>
        <x:v>NL</x:v>
      </x:c>
    </x:row>
    <x:row r="29">
      <x:c r="A29" t="str">
        <x:v>Historia y Cs. Sociales</x:v>
      </x:c>
      <x:c r="B29" t="str">
        <x:v>2° Ciclo</x:v>
      </x:c>
      <x:c r="C29" t="str">
        <x:v>8° Básico</x:v>
      </x:c>
      <x:c r="D29" s="12" t="n">
        <x:f>COUNTIFS('Cursos'!$A$2:$A$106,A29,'Cursos'!$C$2:$C$106,C29)</x:f>
        <x:v>4</x:v>
      </x:c>
      <x:c r="E29" s="12" t="n">
        <x:f>SUMIFS('Cursos'!$E$2:$E$106,'Cursos'!$A$2:$A$106,A29,'Cursos'!$C$2:$C$106,C29)</x:f>
        <x:v>124</x:v>
      </x:c>
      <x:c r="F29" s="13" t="n">
        <x:f>IF(D29=0,"",SUMIFS('Cursos'!$G$2:$G$106,'Cursos'!$A$2:$A$106,A29,'Cursos'!$C$2:$C$106,C29)/D29)</x:f>
        <x:v>34.025000000000006</x:v>
      </x:c>
      <x:c r="G29" t="str">
        <x:f>IF(F29&lt;50,"NL",IF(F29&lt;66.7,"PL","L"))</x:f>
        <x:v>NL</x:v>
      </x:c>
    </x:row>
  </x:sheetData>
  <x:conditionalFormatting sqref="F2:F29">
    <x:cfRule type="colorScale" priority="1">
      <x:colorScale>
        <x:cfvo type="min"/>
        <x:cfvo type="percentile" val="50"/>
        <x:cfvo type="max"/>
        <x:color rgb="FFFEE2E2"/>
        <x:color rgb="FFFEF3C7"/>
        <x:color rgb="FFD1FAE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dc48e8ea9dc40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0" hidden="0" customWidth="1"/>
    <x:col min="4" max="4" width="42" hidden="0" customWidth="1"/>
    <x:col min="5" max="5" width="11" hidden="0" customWidth="1"/>
    <x:col min="6" max="6" width="11" hidden="0" customWidth="1"/>
    <x:col min="7" max="7" width="11" hidden="0" customWidth="1"/>
    <x:col min="8" max="8" width="12" hidden="0" customWidth="1"/>
    <x:col min="9" max="9" width="16" hidden="0" customWidth="1"/>
    <x:col min="10" max="10" width="52" hidden="0" customWidth="1"/>
  </x:cols>
  <x:sheetData>
    <x:row r="1" ht="26" customHeight="1">
      <x:c r="A1" s="9" t="str">
        <x:v>Ciclo</x:v>
      </x:c>
      <x:c r="B1" s="10" t="str">
        <x:v>Nivel</x:v>
      </x:c>
      <x:c r="C1" s="10" t="str">
        <x:v>Curso</x:v>
      </x:c>
      <x:c r="D1" s="10" t="str">
        <x:v>Área</x:v>
      </x:c>
      <x:c r="E1" s="10" t="str">
        <x:v>Matrícula</x:v>
      </x:c>
      <x:c r="F1" s="10" t="str">
        <x:v>Asignados</x:v>
      </x:c>
      <x:c r="G1" s="10" t="str">
        <x:v>Rindieron</x:v>
      </x:c>
      <x:c r="H1" s="10" t="str">
        <x:v>Cobertura</x:v>
      </x:c>
      <x:c r="I1" s="10" t="str">
        <x:v>Informe generado</x:v>
      </x:c>
      <x:c r="J1" s="11" t="str">
        <x:v>Acción pendiente</x:v>
      </x:c>
    </x:row>
    <x:row r="2">
      <x:c r="A2" t="str">
        <x:v>1° Ciclo</x:v>
      </x:c>
      <x:c r="B2" t="str">
        <x:v>1° Básico</x:v>
      </x:c>
      <x:c r="C2" t="str">
        <x:v>1°A</x:v>
      </x:c>
      <x:c r="D2" t="str">
        <x:v>Lectura</x:v>
      </x:c>
      <x:c r="E2" s="12" t="n">
        <x:v>43</x:v>
      </x:c>
      <x:c r="F2" s="12" t="n">
        <x:v>43</x:v>
      </x:c>
      <x:c r="G2" s="12" t="n">
        <x:v>42</x:v>
      </x:c>
      <x:c r="H2" s="14" t="n">
        <x:f>IF(F2=0,"",G2/F2)</x:f>
        <x:v>0.9767441860465116</x:v>
      </x:c>
      <x:c r="I2" t="str">
        <x:v>Sí</x:v>
      </x:c>
      <x:c r="J2" t="str">
        <x:v>Puede descargar el informe del curso en esta área</x:v>
      </x:c>
    </x:row>
    <x:row r="3">
      <x:c r="A3" t="str">
        <x:v>1° Ciclo</x:v>
      </x:c>
      <x:c r="B3" t="str">
        <x:v>1° Básico</x:v>
      </x:c>
      <x:c r="C3" t="str">
        <x:v>1°A</x:v>
      </x:c>
      <x:c r="D3" t="str">
        <x:v>Matemática</x:v>
      </x:c>
      <x:c r="E3" s="12" t="n">
        <x:v>43</x:v>
      </x:c>
      <x:c r="F3" s="12" t="n">
        <x:v>43</x:v>
      </x:c>
      <x:c r="G3" s="12" t="n">
        <x:v>42</x:v>
      </x:c>
      <x:c r="H3" s="14" t="n">
        <x:f>IF(F3=0,"",G3/F3)</x:f>
        <x:v>0.9767441860465116</x:v>
      </x:c>
      <x:c r="I3" t="str">
        <x:v>Sí</x:v>
      </x:c>
      <x:c r="J3" t="str">
        <x:v>Puede descargar el informe del curso en esta área</x:v>
      </x:c>
    </x:row>
    <x:row r="4">
      <x:c r="A4" t="str">
        <x:v>1° Ciclo</x:v>
      </x:c>
      <x:c r="B4" t="str">
        <x:v>1° Básico</x:v>
      </x:c>
      <x:c r="C4" t="str">
        <x:v>1°B</x:v>
      </x:c>
      <x:c r="D4" t="str">
        <x:v>Lectura</x:v>
      </x:c>
      <x:c r="E4" s="12" t="n">
        <x:v>38</x:v>
      </x:c>
      <x:c r="F4" s="12" t="n">
        <x:v>38</x:v>
      </x:c>
      <x:c r="G4" s="12" t="n">
        <x:v>37</x:v>
      </x:c>
      <x:c r="H4" s="14" t="n">
        <x:f>IF(F4=0,"",G4/F4)</x:f>
        <x:v>0.9736842105263158</x:v>
      </x:c>
      <x:c r="I4" t="str">
        <x:v>Sí</x:v>
      </x:c>
      <x:c r="J4" t="str">
        <x:v>Puede descargar el informe del curso en esta área</x:v>
      </x:c>
    </x:row>
    <x:row r="5">
      <x:c r="A5" t="str">
        <x:v>1° Ciclo</x:v>
      </x:c>
      <x:c r="B5" t="str">
        <x:v>1° Básico</x:v>
      </x:c>
      <x:c r="C5" t="str">
        <x:v>1°B</x:v>
      </x:c>
      <x:c r="D5" t="str">
        <x:v>Matemática</x:v>
      </x:c>
      <x:c r="E5" s="12" t="n">
        <x:v>38</x:v>
      </x:c>
      <x:c r="F5" s="12" t="n">
        <x:v>38</x:v>
      </x:c>
      <x:c r="G5" s="12" t="n">
        <x:v>37</x:v>
      </x:c>
      <x:c r="H5" s="14" t="n">
        <x:f>IF(F5=0,"",G5/F5)</x:f>
        <x:v>0.9736842105263158</x:v>
      </x:c>
      <x:c r="I5" t="str">
        <x:v>Sí</x:v>
      </x:c>
      <x:c r="J5" t="str">
        <x:v>Puede descargar el informe del curso en esta área</x:v>
      </x:c>
    </x:row>
    <x:row r="6">
      <x:c r="A6" t="str">
        <x:v>1° Ciclo</x:v>
      </x:c>
      <x:c r="B6" t="str">
        <x:v>1° Básico</x:v>
      </x:c>
      <x:c r="C6" t="str">
        <x:v>1°C</x:v>
      </x:c>
      <x:c r="D6" t="str">
        <x:v>Lectura</x:v>
      </x:c>
      <x:c r="E6" s="12" t="n">
        <x:v>37</x:v>
      </x:c>
      <x:c r="F6" s="12" t="n">
        <x:v>37</x:v>
      </x:c>
      <x:c r="G6" s="12" t="n">
        <x:v>34</x:v>
      </x:c>
      <x:c r="H6" s="14" t="n">
        <x:f>IF(F6=0,"",G6/F6)</x:f>
        <x:v>0.918918918918919</x:v>
      </x:c>
      <x:c r="I6" t="str">
        <x:v>Sí</x:v>
      </x:c>
      <x:c r="J6" t="str">
        <x:v>Puede descargar el informe del curso en esta área</x:v>
      </x:c>
    </x:row>
    <x:row r="7">
      <x:c r="A7" t="str">
        <x:v>1° Ciclo</x:v>
      </x:c>
      <x:c r="B7" t="str">
        <x:v>1° Básico</x:v>
      </x:c>
      <x:c r="C7" t="str">
        <x:v>1°C</x:v>
      </x:c>
      <x:c r="D7" t="str">
        <x:v>Matemática</x:v>
      </x:c>
      <x:c r="E7" s="12" t="n">
        <x:v>37</x:v>
      </x:c>
      <x:c r="F7" s="12" t="n">
        <x:v>37</x:v>
      </x:c>
      <x:c r="G7" s="12" t="n">
        <x:v>35</x:v>
      </x:c>
      <x:c r="H7" s="14" t="n">
        <x:f>IF(F7=0,"",G7/F7)</x:f>
        <x:v>0.9459459459459459</x:v>
      </x:c>
      <x:c r="I7" t="str">
        <x:v>Sí</x:v>
      </x:c>
      <x:c r="J7" t="str">
        <x:v>Puede descargar el informe del curso en esta área</x:v>
      </x:c>
    </x:row>
    <x:row r="8">
      <x:c r="A8" t="str">
        <x:v>1° Ciclo</x:v>
      </x:c>
      <x:c r="B8" t="str">
        <x:v>2° Básico</x:v>
      </x:c>
      <x:c r="C8" t="str">
        <x:v>2°A</x:v>
      </x:c>
      <x:c r="D8" t="str">
        <x:v>Lectura</x:v>
      </x:c>
      <x:c r="E8" s="12" t="n">
        <x:v>37</x:v>
      </x:c>
      <x:c r="F8" s="12" t="n">
        <x:v>37</x:v>
      </x:c>
      <x:c r="G8" s="12" t="n">
        <x:v>37</x:v>
      </x:c>
      <x:c r="H8" s="14" t="n">
        <x:f>IF(F8=0,"",G8/F8)</x:f>
        <x:v>1</x:v>
      </x:c>
      <x:c r="I8" t="str">
        <x:v>Sí</x:v>
      </x:c>
      <x:c r="J8" t="str">
        <x:v>Puede descargar el informe del curso en esta área</x:v>
      </x:c>
    </x:row>
    <x:row r="9">
      <x:c r="A9" t="str">
        <x:v>1° Ciclo</x:v>
      </x:c>
      <x:c r="B9" t="str">
        <x:v>2° Básico</x:v>
      </x:c>
      <x:c r="C9" t="str">
        <x:v>2°A</x:v>
      </x:c>
      <x:c r="D9" t="str">
        <x:v>Diagnóstico para la Reactivación de la Lectura</x:v>
      </x:c>
      <x:c r="E9" s="12" t="n">
        <x:v>37</x:v>
      </x:c>
      <x:c r="F9" s="12" t="n">
        <x:v>37</x:v>
      </x:c>
      <x:c r="G9" s="12" t="n">
        <x:v>0</x:v>
      </x:c>
      <x:c r="H9" s="14" t="n">
        <x:f>IF(F9=0,"",G9/F9)</x:f>
        <x:v>0</x:v>
      </x:c>
      <x:c r="I9" t="str">
        <x:v>No</x:v>
      </x:c>
      <x:c r="J9" t="str">
        <x:v>Complete el ingreso de respuestas y/o la corrección de P. de desarrollo</x:v>
      </x:c>
    </x:row>
    <x:row r="10">
      <x:c r="A10" t="str">
        <x:v>1° Ciclo</x:v>
      </x:c>
      <x:c r="B10" t="str">
        <x:v>2° Básico</x:v>
      </x:c>
      <x:c r="C10" t="str">
        <x:v>2°A</x:v>
      </x:c>
      <x:c r="D10" t="str">
        <x:v>Matemática</x:v>
      </x:c>
      <x:c r="E10" s="12" t="n">
        <x:v>37</x:v>
      </x:c>
      <x:c r="F10" s="12" t="n">
        <x:v>37</x:v>
      </x:c>
      <x:c r="G10" s="12" t="n">
        <x:v>37</x:v>
      </x:c>
      <x:c r="H10" s="14" t="n">
        <x:f>IF(F10=0,"",G10/F10)</x:f>
        <x:v>1</x:v>
      </x:c>
      <x:c r="I10" t="str">
        <x:v>Sí</x:v>
      </x:c>
      <x:c r="J10" t="str">
        <x:v>Puede descargar el informe del curso en esta área</x:v>
      </x:c>
    </x:row>
    <x:row r="11">
      <x:c r="A11" t="str">
        <x:v>1° Ciclo</x:v>
      </x:c>
      <x:c r="B11" t="str">
        <x:v>2° Básico</x:v>
      </x:c>
      <x:c r="C11" t="str">
        <x:v>2°B</x:v>
      </x:c>
      <x:c r="D11" t="str">
        <x:v>Lectura</x:v>
      </x:c>
      <x:c r="E11" s="12" t="n">
        <x:v>40</x:v>
      </x:c>
      <x:c r="F11" s="12" t="n">
        <x:v>40</x:v>
      </x:c>
      <x:c r="G11" s="12" t="n">
        <x:v>37</x:v>
      </x:c>
      <x:c r="H11" s="14" t="n">
        <x:f>IF(F11=0,"",G11/F11)</x:f>
        <x:v>0.925</x:v>
      </x:c>
      <x:c r="I11" t="str">
        <x:v>Sí</x:v>
      </x:c>
      <x:c r="J11" t="str">
        <x:v>Puede descargar el informe del curso en esta área</x:v>
      </x:c>
    </x:row>
    <x:row r="12">
      <x:c r="A12" t="str">
        <x:v>1° Ciclo</x:v>
      </x:c>
      <x:c r="B12" t="str">
        <x:v>2° Básico</x:v>
      </x:c>
      <x:c r="C12" t="str">
        <x:v>2°B</x:v>
      </x:c>
      <x:c r="D12" t="str">
        <x:v>Diagnóstico para la Reactivación de la Lectura</x:v>
      </x:c>
      <x:c r="E12" s="12" t="n">
        <x:v>40</x:v>
      </x:c>
      <x:c r="F12" s="12" t="n">
        <x:v>38</x:v>
      </x:c>
      <x:c r="G12" s="12" t="n">
        <x:v>0</x:v>
      </x:c>
      <x:c r="H12" s="14" t="n">
        <x:f>IF(F12=0,"",G12/F12)</x:f>
        <x:v>0</x:v>
      </x:c>
      <x:c r="I12" t="str">
        <x:v>No</x:v>
      </x:c>
      <x:c r="J12" t="str">
        <x:v>Complete el ingreso de respuestas y/o la corrección de P. de desarrollo</x:v>
      </x:c>
    </x:row>
    <x:row r="13">
      <x:c r="A13" t="str">
        <x:v>1° Ciclo</x:v>
      </x:c>
      <x:c r="B13" t="str">
        <x:v>2° Básico</x:v>
      </x:c>
      <x:c r="C13" t="str">
        <x:v>2°B</x:v>
      </x:c>
      <x:c r="D13" t="str">
        <x:v>Matemática</x:v>
      </x:c>
      <x:c r="E13" s="12" t="n">
        <x:v>40</x:v>
      </x:c>
      <x:c r="F13" s="12" t="n">
        <x:v>40</x:v>
      </x:c>
      <x:c r="G13" s="12" t="n">
        <x:v>40</x:v>
      </x:c>
      <x:c r="H13" s="14" t="n">
        <x:f>IF(F13=0,"",G13/F13)</x:f>
        <x:v>1</x:v>
      </x:c>
      <x:c r="I13" t="str">
        <x:v>Sí</x:v>
      </x:c>
      <x:c r="J13" t="str">
        <x:v>Puede descargar el informe del curso en esta área</x:v>
      </x:c>
    </x:row>
    <x:row r="14">
      <x:c r="A14" t="str">
        <x:v>1° Ciclo</x:v>
      </x:c>
      <x:c r="B14" t="str">
        <x:v>2° Básico</x:v>
      </x:c>
      <x:c r="C14" t="str">
        <x:v>2°C</x:v>
      </x:c>
      <x:c r="D14" t="str">
        <x:v>Lectura</x:v>
      </x:c>
      <x:c r="E14" s="12" t="n">
        <x:v>39</x:v>
      </x:c>
      <x:c r="F14" s="12" t="n">
        <x:v>39</x:v>
      </x:c>
      <x:c r="G14" s="12" t="n">
        <x:v>39</x:v>
      </x:c>
      <x:c r="H14" s="14" t="n">
        <x:f>IF(F14=0,"",G14/F14)</x:f>
        <x:v>1</x:v>
      </x:c>
      <x:c r="I14" t="str">
        <x:v>Sí</x:v>
      </x:c>
      <x:c r="J14" t="str">
        <x:v>Puede descargar el informe del curso en esta área</x:v>
      </x:c>
    </x:row>
    <x:row r="15">
      <x:c r="A15" t="str">
        <x:v>1° Ciclo</x:v>
      </x:c>
      <x:c r="B15" t="str">
        <x:v>2° Básico</x:v>
      </x:c>
      <x:c r="C15" t="str">
        <x:v>2°C</x:v>
      </x:c>
      <x:c r="D15" t="str">
        <x:v>Diagnóstico para la Reactivación de la Lectura</x:v>
      </x:c>
      <x:c r="E15" s="12" t="n">
        <x:v>39</x:v>
      </x:c>
      <x:c r="F15" s="12" t="n">
        <x:v>38</x:v>
      </x:c>
      <x:c r="G15" s="12" t="n">
        <x:v>0</x:v>
      </x:c>
      <x:c r="H15" s="14" t="n">
        <x:f>IF(F15=0,"",G15/F15)</x:f>
        <x:v>0</x:v>
      </x:c>
      <x:c r="I15" t="str">
        <x:v>No</x:v>
      </x:c>
      <x:c r="J15" t="str">
        <x:v>Complete el ingreso de respuestas y/o la corrección de P. de desarrollo</x:v>
      </x:c>
    </x:row>
    <x:row r="16">
      <x:c r="A16" t="str">
        <x:v>1° Ciclo</x:v>
      </x:c>
      <x:c r="B16" t="str">
        <x:v>2° Básico</x:v>
      </x:c>
      <x:c r="C16" t="str">
        <x:v>2°C</x:v>
      </x:c>
      <x:c r="D16" t="str">
        <x:v>Matemática</x:v>
      </x:c>
      <x:c r="E16" s="12" t="n">
        <x:v>39</x:v>
      </x:c>
      <x:c r="F16" s="12" t="n">
        <x:v>39</x:v>
      </x:c>
      <x:c r="G16" s="12" t="n">
        <x:v>39</x:v>
      </x:c>
      <x:c r="H16" s="14" t="n">
        <x:f>IF(F16=0,"",G16/F16)</x:f>
        <x:v>1</x:v>
      </x:c>
      <x:c r="I16" t="str">
        <x:v>Sí</x:v>
      </x:c>
      <x:c r="J16" t="str">
        <x:v>Puede descargar el informe del curso en esta área</x:v>
      </x:c>
    </x:row>
    <x:row r="17">
      <x:c r="A17" t="str">
        <x:v>1° Ciclo</x:v>
      </x:c>
      <x:c r="B17" t="str">
        <x:v>2° Básico</x:v>
      </x:c>
      <x:c r="C17" t="str">
        <x:v>2°D</x:v>
      </x:c>
      <x:c r="D17" t="str">
        <x:v>Lectura</x:v>
      </x:c>
      <x:c r="E17" s="12" t="n">
        <x:v>39</x:v>
      </x:c>
      <x:c r="F17" s="12" t="n">
        <x:v>39</x:v>
      </x:c>
      <x:c r="G17" s="12" t="n">
        <x:v>38</x:v>
      </x:c>
      <x:c r="H17" s="14" t="n">
        <x:f>IF(F17=0,"",G17/F17)</x:f>
        <x:v>0.9743589743589743</x:v>
      </x:c>
      <x:c r="I17" t="str">
        <x:v>Sí</x:v>
      </x:c>
      <x:c r="J17" t="str">
        <x:v>Puede descargar el informe del curso en esta área</x:v>
      </x:c>
    </x:row>
    <x:row r="18">
      <x:c r="A18" t="str">
        <x:v>1° Ciclo</x:v>
      </x:c>
      <x:c r="B18" t="str">
        <x:v>2° Básico</x:v>
      </x:c>
      <x:c r="C18" t="str">
        <x:v>2°D</x:v>
      </x:c>
      <x:c r="D18" t="str">
        <x:v>Matemática</x:v>
      </x:c>
      <x:c r="E18" s="12" t="n">
        <x:v>39</x:v>
      </x:c>
      <x:c r="F18" s="12" t="n">
        <x:v>38</x:v>
      </x:c>
      <x:c r="G18" s="12" t="n">
        <x:v>36</x:v>
      </x:c>
      <x:c r="H18" s="14" t="n">
        <x:f>IF(F18=0,"",G18/F18)</x:f>
        <x:v>0.9473684210526315</x:v>
      </x:c>
      <x:c r="I18" t="str">
        <x:v>Sí</x:v>
      </x:c>
      <x:c r="J18" t="str">
        <x:v>Puede descargar el informe del curso en esta área</x:v>
      </x:c>
    </x:row>
    <x:row r="19">
      <x:c r="A19" t="str">
        <x:v>1° Ciclo</x:v>
      </x:c>
      <x:c r="B19" t="str">
        <x:v>2° Básico</x:v>
      </x:c>
      <x:c r="C19" t="str">
        <x:v>2°E</x:v>
      </x:c>
      <x:c r="D19" t="str">
        <x:v>Lectura</x:v>
      </x:c>
      <x:c r="E19" s="12" t="n">
        <x:v>45</x:v>
      </x:c>
      <x:c r="F19" s="12" t="n">
        <x:v>43</x:v>
      </x:c>
      <x:c r="G19" s="12" t="n">
        <x:v>39</x:v>
      </x:c>
      <x:c r="H19" s="14" t="n">
        <x:f>IF(F19=0,"",G19/F19)</x:f>
        <x:v>0.9069767441860465</x:v>
      </x:c>
      <x:c r="I19" t="str">
        <x:v>Sí</x:v>
      </x:c>
      <x:c r="J19" t="str">
        <x:v>Puede descargar el informe del curso en esta área</x:v>
      </x:c>
    </x:row>
    <x:row r="20">
      <x:c r="A20" t="str">
        <x:v>1° Ciclo</x:v>
      </x:c>
      <x:c r="B20" t="str">
        <x:v>2° Básico</x:v>
      </x:c>
      <x:c r="C20" t="str">
        <x:v>2°E</x:v>
      </x:c>
      <x:c r="D20" t="str">
        <x:v>Matemática</x:v>
      </x:c>
      <x:c r="E20" s="12" t="n">
        <x:v>45</x:v>
      </x:c>
      <x:c r="F20" s="12" t="n">
        <x:v>43</x:v>
      </x:c>
      <x:c r="G20" s="12" t="n">
        <x:v>39</x:v>
      </x:c>
      <x:c r="H20" s="14" t="n">
        <x:f>IF(F20=0,"",G20/F20)</x:f>
        <x:v>0.9069767441860465</x:v>
      </x:c>
      <x:c r="I20" t="str">
        <x:v>Sí</x:v>
      </x:c>
      <x:c r="J20" t="str">
        <x:v>Puede descargar el informe del curso en esta área</x:v>
      </x:c>
    </x:row>
    <x:row r="21">
      <x:c r="A21" t="str">
        <x:v>1° Ciclo</x:v>
      </x:c>
      <x:c r="B21" t="str">
        <x:v>3° Básico</x:v>
      </x:c>
      <x:c r="C21" t="str">
        <x:v>3°A</x:v>
      </x:c>
      <x:c r="D21" t="str">
        <x:v>Lectura</x:v>
      </x:c>
      <x:c r="E21" s="12" t="n">
        <x:v>43</x:v>
      </x:c>
      <x:c r="F21" s="12" t="n">
        <x:v>43</x:v>
      </x:c>
      <x:c r="G21" s="12" t="n">
        <x:v>43</x:v>
      </x:c>
      <x:c r="H21" s="14" t="n">
        <x:f>IF(F21=0,"",G21/F21)</x:f>
        <x:v>1</x:v>
      </x:c>
      <x:c r="I21" t="str">
        <x:v>Sí</x:v>
      </x:c>
      <x:c r="J21" t="str">
        <x:v>Puede descargar el informe del curso en esta área</x:v>
      </x:c>
    </x:row>
    <x:row r="22">
      <x:c r="A22" t="str">
        <x:v>1° Ciclo</x:v>
      </x:c>
      <x:c r="B22" t="str">
        <x:v>3° Básico</x:v>
      </x:c>
      <x:c r="C22" t="str">
        <x:v>3°A</x:v>
      </x:c>
      <x:c r="D22" t="str">
        <x:v>Diagnóstico para la Reactivación de la Lectura</x:v>
      </x:c>
      <x:c r="E22" s="12" t="n">
        <x:v>43</x:v>
      </x:c>
      <x:c r="F22" s="12" t="n">
        <x:v>43</x:v>
      </x:c>
      <x:c r="G22" s="12" t="n">
        <x:v>0</x:v>
      </x:c>
      <x:c r="H22" s="14" t="n">
        <x:f>IF(F22=0,"",G22/F22)</x:f>
        <x:v>0</x:v>
      </x:c>
      <x:c r="I22" t="str">
        <x:v>No</x:v>
      </x:c>
      <x:c r="J22" t="str">
        <x:v>Complete el ingreso de respuestas y/o la corrección de P. de desarrollo</x:v>
      </x:c>
    </x:row>
    <x:row r="23">
      <x:c r="A23" t="str">
        <x:v>1° Ciclo</x:v>
      </x:c>
      <x:c r="B23" t="str">
        <x:v>3° Básico</x:v>
      </x:c>
      <x:c r="C23" t="str">
        <x:v>3°A</x:v>
      </x:c>
      <x:c r="D23" t="str">
        <x:v>Matemática</x:v>
      </x:c>
      <x:c r="E23" s="12" t="n">
        <x:v>43</x:v>
      </x:c>
      <x:c r="F23" s="12" t="n">
        <x:v>43</x:v>
      </x:c>
      <x:c r="G23" s="12" t="n">
        <x:v>43</x:v>
      </x:c>
      <x:c r="H23" s="14" t="n">
        <x:f>IF(F23=0,"",G23/F23)</x:f>
        <x:v>1</x:v>
      </x:c>
      <x:c r="I23" t="str">
        <x:v>Sí</x:v>
      </x:c>
      <x:c r="J23" t="str">
        <x:v>Puede descargar el informe del curso en esta área</x:v>
      </x:c>
    </x:row>
    <x:row r="24">
      <x:c r="A24" t="str">
        <x:v>1° Ciclo</x:v>
      </x:c>
      <x:c r="B24" t="str">
        <x:v>3° Básico</x:v>
      </x:c>
      <x:c r="C24" t="str">
        <x:v>3°B</x:v>
      </x:c>
      <x:c r="D24" t="str">
        <x:v>Lectura</x:v>
      </x:c>
      <x:c r="E24" s="12" t="n">
        <x:v>44</x:v>
      </x:c>
      <x:c r="F24" s="12" t="n">
        <x:v>44</x:v>
      </x:c>
      <x:c r="G24" s="12" t="n">
        <x:v>44</x:v>
      </x:c>
      <x:c r="H24" s="14" t="n">
        <x:f>IF(F24=0,"",G24/F24)</x:f>
        <x:v>1</x:v>
      </x:c>
      <x:c r="I24" t="str">
        <x:v>Sí</x:v>
      </x:c>
      <x:c r="J24" t="str">
        <x:v>Puede descargar el informe del curso en esta área</x:v>
      </x:c>
    </x:row>
    <x:row r="25">
      <x:c r="A25" t="str">
        <x:v>1° Ciclo</x:v>
      </x:c>
      <x:c r="B25" t="str">
        <x:v>3° Básico</x:v>
      </x:c>
      <x:c r="C25" t="str">
        <x:v>3°B</x:v>
      </x:c>
      <x:c r="D25" t="str">
        <x:v>Diagnóstico para la Reactivación de la Lectura</x:v>
      </x:c>
      <x:c r="E25" s="12" t="n">
        <x:v>44</x:v>
      </x:c>
      <x:c r="F25" s="12" t="n">
        <x:v>40</x:v>
      </x:c>
      <x:c r="G25" s="12" t="n">
        <x:v>0</x:v>
      </x:c>
      <x:c r="H25" s="14" t="n">
        <x:f>IF(F25=0,"",G25/F25)</x:f>
        <x:v>0</x:v>
      </x:c>
      <x:c r="I25" t="str">
        <x:v>No</x:v>
      </x:c>
      <x:c r="J25" t="str">
        <x:v>Complete el ingreso de respuestas y/o la corrección de P. de desarrollo</x:v>
      </x:c>
    </x:row>
    <x:row r="26">
      <x:c r="A26" t="str">
        <x:v>1° Ciclo</x:v>
      </x:c>
      <x:c r="B26" t="str">
        <x:v>3° Básico</x:v>
      </x:c>
      <x:c r="C26" t="str">
        <x:v>3°B</x:v>
      </x:c>
      <x:c r="D26" t="str">
        <x:v>Matemática</x:v>
      </x:c>
      <x:c r="E26" s="12" t="n">
        <x:v>44</x:v>
      </x:c>
      <x:c r="F26" s="12" t="n">
        <x:v>44</x:v>
      </x:c>
      <x:c r="G26" s="12" t="n">
        <x:v>44</x:v>
      </x:c>
      <x:c r="H26" s="14" t="n">
        <x:f>IF(F26=0,"",G26/F26)</x:f>
        <x:v>1</x:v>
      </x:c>
      <x:c r="I26" t="str">
        <x:v>Sí</x:v>
      </x:c>
      <x:c r="J26" t="str">
        <x:v>Puede descargar el informe del curso en esta área</x:v>
      </x:c>
    </x:row>
    <x:row r="27">
      <x:c r="A27" t="str">
        <x:v>1° Ciclo</x:v>
      </x:c>
      <x:c r="B27" t="str">
        <x:v>3° Básico</x:v>
      </x:c>
      <x:c r="C27" t="str">
        <x:v>3°C</x:v>
      </x:c>
      <x:c r="D27" t="str">
        <x:v>Lectura</x:v>
      </x:c>
      <x:c r="E27" s="12" t="n">
        <x:v>42</x:v>
      </x:c>
      <x:c r="F27" s="12" t="n">
        <x:v>39</x:v>
      </x:c>
      <x:c r="G27" s="12" t="n">
        <x:v>37</x:v>
      </x:c>
      <x:c r="H27" s="14" t="n">
        <x:f>IF(F27=0,"",G27/F27)</x:f>
        <x:v>0.9487179487179487</x:v>
      </x:c>
      <x:c r="I27" t="str">
        <x:v>Sí</x:v>
      </x:c>
      <x:c r="J27" t="str">
        <x:v>Puede descargar el informe del curso en esta área</x:v>
      </x:c>
    </x:row>
    <x:row r="28">
      <x:c r="A28" t="str">
        <x:v>1° Ciclo</x:v>
      </x:c>
      <x:c r="B28" t="str">
        <x:v>3° Básico</x:v>
      </x:c>
      <x:c r="C28" t="str">
        <x:v>3°C</x:v>
      </x:c>
      <x:c r="D28" t="str">
        <x:v>Diagnóstico para la Reactivación de la Lectura</x:v>
      </x:c>
      <x:c r="E28" s="12" t="n">
        <x:v>42</x:v>
      </x:c>
      <x:c r="F28" s="12" t="n">
        <x:v>39</x:v>
      </x:c>
      <x:c r="G28" s="12" t="n">
        <x:v>0</x:v>
      </x:c>
      <x:c r="H28" s="14" t="n">
        <x:f>IF(F28=0,"",G28/F28)</x:f>
        <x:v>0</x:v>
      </x:c>
      <x:c r="I28" t="str">
        <x:v>No</x:v>
      </x:c>
      <x:c r="J28" t="str">
        <x:v>Complete el ingreso de respuestas y/o la corrección de P. de desarrollo</x:v>
      </x:c>
    </x:row>
    <x:row r="29">
      <x:c r="A29" t="str">
        <x:v>1° Ciclo</x:v>
      </x:c>
      <x:c r="B29" t="str">
        <x:v>3° Básico</x:v>
      </x:c>
      <x:c r="C29" t="str">
        <x:v>3°C</x:v>
      </x:c>
      <x:c r="D29" t="str">
        <x:v>Matemática</x:v>
      </x:c>
      <x:c r="E29" s="12" t="n">
        <x:v>42</x:v>
      </x:c>
      <x:c r="F29" s="12" t="n">
        <x:v>39</x:v>
      </x:c>
      <x:c r="G29" s="12" t="n">
        <x:v>38</x:v>
      </x:c>
      <x:c r="H29" s="14" t="n">
        <x:f>IF(F29=0,"",G29/F29)</x:f>
        <x:v>0.9743589743589743</x:v>
      </x:c>
      <x:c r="I29" t="str">
        <x:v>Sí</x:v>
      </x:c>
      <x:c r="J29" t="str">
        <x:v>Puede descargar el informe del curso en esta área</x:v>
      </x:c>
    </x:row>
    <x:row r="30">
      <x:c r="A30" t="str">
        <x:v>1° Ciclo</x:v>
      </x:c>
      <x:c r="B30" t="str">
        <x:v>3° Básico</x:v>
      </x:c>
      <x:c r="C30" t="str">
        <x:v>3°D</x:v>
      </x:c>
      <x:c r="D30" t="str">
        <x:v>Lectura</x:v>
      </x:c>
      <x:c r="E30" s="12" t="n">
        <x:v>40</x:v>
      </x:c>
      <x:c r="F30" s="12" t="n">
        <x:v>40</x:v>
      </x:c>
      <x:c r="G30" s="12" t="n">
        <x:v>36</x:v>
      </x:c>
      <x:c r="H30" s="14" t="n">
        <x:f>IF(F30=0,"",G30/F30)</x:f>
        <x:v>0.9</x:v>
      </x:c>
      <x:c r="I30" t="str">
        <x:v>Sí</x:v>
      </x:c>
      <x:c r="J30" t="str">
        <x:v>Puede descargar el informe del curso en esta área</x:v>
      </x:c>
    </x:row>
    <x:row r="31">
      <x:c r="A31" t="str">
        <x:v>1° Ciclo</x:v>
      </x:c>
      <x:c r="B31" t="str">
        <x:v>3° Básico</x:v>
      </x:c>
      <x:c r="C31" t="str">
        <x:v>3°D</x:v>
      </x:c>
      <x:c r="D31" t="str">
        <x:v>Matemática</x:v>
      </x:c>
      <x:c r="E31" s="12" t="n">
        <x:v>40</x:v>
      </x:c>
      <x:c r="F31" s="12" t="n">
        <x:v>40</x:v>
      </x:c>
      <x:c r="G31" s="12" t="n">
        <x:v>39</x:v>
      </x:c>
      <x:c r="H31" s="14" t="n">
        <x:f>IF(F31=0,"",G31/F31)</x:f>
        <x:v>0.975</x:v>
      </x:c>
      <x:c r="I31" t="str">
        <x:v>Sí</x:v>
      </x:c>
      <x:c r="J31" t="str">
        <x:v>Puede descargar el informe del curso en esta área</x:v>
      </x:c>
    </x:row>
    <x:row r="32">
      <x:c r="A32" t="str">
        <x:v>1° Ciclo</x:v>
      </x:c>
      <x:c r="B32" t="str">
        <x:v>3° Básico</x:v>
      </x:c>
      <x:c r="C32" t="str">
        <x:v>3°E</x:v>
      </x:c>
      <x:c r="D32" t="str">
        <x:v>Lectura</x:v>
      </x:c>
      <x:c r="E32" s="12" t="n">
        <x:v>37</x:v>
      </x:c>
      <x:c r="F32" s="12" t="n">
        <x:v>37</x:v>
      </x:c>
      <x:c r="G32" s="12" t="n">
        <x:v>36</x:v>
      </x:c>
      <x:c r="H32" s="14" t="n">
        <x:f>IF(F32=0,"",G32/F32)</x:f>
        <x:v>0.972972972972973</x:v>
      </x:c>
      <x:c r="I32" t="str">
        <x:v>Sí</x:v>
      </x:c>
      <x:c r="J32" t="str">
        <x:v>Puede descargar el informe del curso en esta área</x:v>
      </x:c>
    </x:row>
    <x:row r="33">
      <x:c r="A33" t="str">
        <x:v>1° Ciclo</x:v>
      </x:c>
      <x:c r="B33" t="str">
        <x:v>3° Básico</x:v>
      </x:c>
      <x:c r="C33" t="str">
        <x:v>3°E</x:v>
      </x:c>
      <x:c r="D33" t="str">
        <x:v>Matemática</x:v>
      </x:c>
      <x:c r="E33" s="12" t="n">
        <x:v>37</x:v>
      </x:c>
      <x:c r="F33" s="12" t="n">
        <x:v>37</x:v>
      </x:c>
      <x:c r="G33" s="12" t="n">
        <x:v>36</x:v>
      </x:c>
      <x:c r="H33" s="14" t="n">
        <x:f>IF(F33=0,"",G33/F33)</x:f>
        <x:v>0.972972972972973</x:v>
      </x:c>
      <x:c r="I33" t="str">
        <x:v>Sí</x:v>
      </x:c>
      <x:c r="J33" t="str">
        <x:v>Puede descargar el informe del curso en esta área</x:v>
      </x:c>
    </x:row>
    <x:row r="34">
      <x:c r="A34" t="str">
        <x:v>1° Ciclo</x:v>
      </x:c>
      <x:c r="B34" t="str">
        <x:v>4° Básico</x:v>
      </x:c>
      <x:c r="C34" t="str">
        <x:v>4°A</x:v>
      </x:c>
      <x:c r="D34" t="str">
        <x:v>Lectura</x:v>
      </x:c>
      <x:c r="E34" s="12" t="n">
        <x:v>45</x:v>
      </x:c>
      <x:c r="F34" s="12" t="n">
        <x:v>45</x:v>
      </x:c>
      <x:c r="G34" s="12" t="n">
        <x:v>42</x:v>
      </x:c>
      <x:c r="H34" s="14" t="n">
        <x:f>IF(F34=0,"",G34/F34)</x:f>
        <x:v>0.9333333333333333</x:v>
      </x:c>
      <x:c r="I34" t="str">
        <x:v>Sí</x:v>
      </x:c>
      <x:c r="J34" t="str">
        <x:v>Puede descargar el informe del curso en esta área</x:v>
      </x:c>
    </x:row>
    <x:row r="35">
      <x:c r="A35" t="str">
        <x:v>1° Ciclo</x:v>
      </x:c>
      <x:c r="B35" t="str">
        <x:v>4° Básico</x:v>
      </x:c>
      <x:c r="C35" t="str">
        <x:v>4°A</x:v>
      </x:c>
      <x:c r="D35" t="str">
        <x:v>Diagnóstico para la Reactivación de la Lectura</x:v>
      </x:c>
      <x:c r="E35" s="12" t="n">
        <x:v>45</x:v>
      </x:c>
      <x:c r="F35" s="12" t="n">
        <x:v>45</x:v>
      </x:c>
      <x:c r="G35" s="12" t="n">
        <x:v>0</x:v>
      </x:c>
      <x:c r="H35" s="14" t="n">
        <x:f>IF(F35=0,"",G35/F35)</x:f>
        <x:v>0</x:v>
      </x:c>
      <x:c r="I35" t="str">
        <x:v>No</x:v>
      </x:c>
      <x:c r="J35" t="str">
        <x:v>Complete el ingreso de respuestas y/o la corrección de P. de desarrollo</x:v>
      </x:c>
    </x:row>
    <x:row r="36">
      <x:c r="A36" t="str">
        <x:v>1° Ciclo</x:v>
      </x:c>
      <x:c r="B36" t="str">
        <x:v>4° Básico</x:v>
      </x:c>
      <x:c r="C36" t="str">
        <x:v>4°A</x:v>
      </x:c>
      <x:c r="D36" t="str">
        <x:v>Matemática</x:v>
      </x:c>
      <x:c r="E36" s="12" t="n">
        <x:v>45</x:v>
      </x:c>
      <x:c r="F36" s="12" t="n">
        <x:v>45</x:v>
      </x:c>
      <x:c r="G36" s="12" t="n">
        <x:v>43</x:v>
      </x:c>
      <x:c r="H36" s="14" t="n">
        <x:f>IF(F36=0,"",G36/F36)</x:f>
        <x:v>0.9555555555555556</x:v>
      </x:c>
      <x:c r="I36" t="str">
        <x:v>Sí</x:v>
      </x:c>
      <x:c r="J36" t="str">
        <x:v>Puede descargar el informe del curso en esta área</x:v>
      </x:c>
    </x:row>
    <x:row r="37">
      <x:c r="A37" t="str">
        <x:v>1° Ciclo</x:v>
      </x:c>
      <x:c r="B37" t="str">
        <x:v>4° Básico</x:v>
      </x:c>
      <x:c r="C37" t="str">
        <x:v>4°B</x:v>
      </x:c>
      <x:c r="D37" t="str">
        <x:v>Lectura</x:v>
      </x:c>
      <x:c r="E37" s="12" t="n">
        <x:v>44</x:v>
      </x:c>
      <x:c r="F37" s="12" t="n">
        <x:v>44</x:v>
      </x:c>
      <x:c r="G37" s="12" t="n">
        <x:v>44</x:v>
      </x:c>
      <x:c r="H37" s="14" t="n">
        <x:f>IF(F37=0,"",G37/F37)</x:f>
        <x:v>1</x:v>
      </x:c>
      <x:c r="I37" t="str">
        <x:v>Sí</x:v>
      </x:c>
      <x:c r="J37" t="str">
        <x:v>Puede descargar el informe del curso en esta área</x:v>
      </x:c>
    </x:row>
    <x:row r="38">
      <x:c r="A38" t="str">
        <x:v>1° Ciclo</x:v>
      </x:c>
      <x:c r="B38" t="str">
        <x:v>4° Básico</x:v>
      </x:c>
      <x:c r="C38" t="str">
        <x:v>4°B</x:v>
      </x:c>
      <x:c r="D38" t="str">
        <x:v>Diagnóstico para la Reactivación de la Lectura</x:v>
      </x:c>
      <x:c r="E38" s="12" t="n">
        <x:v>44</x:v>
      </x:c>
      <x:c r="F38" s="12" t="n">
        <x:v>44</x:v>
      </x:c>
      <x:c r="G38" s="12" t="n">
        <x:v>0</x:v>
      </x:c>
      <x:c r="H38" s="14" t="n">
        <x:f>IF(F38=0,"",G38/F38)</x:f>
        <x:v>0</x:v>
      </x:c>
      <x:c r="I38" t="str">
        <x:v>No</x:v>
      </x:c>
      <x:c r="J38" t="str">
        <x:v>Complete el ingreso de respuestas y/o la corrección de P. de desarrollo</x:v>
      </x:c>
    </x:row>
    <x:row r="39">
      <x:c r="A39" t="str">
        <x:v>1° Ciclo</x:v>
      </x:c>
      <x:c r="B39" t="str">
        <x:v>4° Básico</x:v>
      </x:c>
      <x:c r="C39" t="str">
        <x:v>4°B</x:v>
      </x:c>
      <x:c r="D39" t="str">
        <x:v>Matemática</x:v>
      </x:c>
      <x:c r="E39" s="12" t="n">
        <x:v>44</x:v>
      </x:c>
      <x:c r="F39" s="12" t="n">
        <x:v>44</x:v>
      </x:c>
      <x:c r="G39" s="12" t="n">
        <x:v>44</x:v>
      </x:c>
      <x:c r="H39" s="14" t="n">
        <x:f>IF(F39=0,"",G39/F39)</x:f>
        <x:v>1</x:v>
      </x:c>
      <x:c r="I39" t="str">
        <x:v>Sí</x:v>
      </x:c>
      <x:c r="J39" t="str">
        <x:v>Puede descargar el informe del curso en esta área</x:v>
      </x:c>
    </x:row>
    <x:row r="40">
      <x:c r="A40" t="str">
        <x:v>1° Ciclo</x:v>
      </x:c>
      <x:c r="B40" t="str">
        <x:v>4° Básico</x:v>
      </x:c>
      <x:c r="C40" t="str">
        <x:v>4°C</x:v>
      </x:c>
      <x:c r="D40" t="str">
        <x:v>Lectura</x:v>
      </x:c>
      <x:c r="E40" s="12" t="n">
        <x:v>41</x:v>
      </x:c>
      <x:c r="F40" s="12" t="n">
        <x:v>41</x:v>
      </x:c>
      <x:c r="G40" s="12" t="n">
        <x:v>41</x:v>
      </x:c>
      <x:c r="H40" s="14" t="n">
        <x:f>IF(F40=0,"",G40/F40)</x:f>
        <x:v>1</x:v>
      </x:c>
      <x:c r="I40" t="str">
        <x:v>Sí</x:v>
      </x:c>
      <x:c r="J40" t="str">
        <x:v>Puede descargar el informe del curso en esta área</x:v>
      </x:c>
    </x:row>
    <x:row r="41">
      <x:c r="A41" t="str">
        <x:v>1° Ciclo</x:v>
      </x:c>
      <x:c r="B41" t="str">
        <x:v>4° Básico</x:v>
      </x:c>
      <x:c r="C41" t="str">
        <x:v>4°C</x:v>
      </x:c>
      <x:c r="D41" t="str">
        <x:v>Diagnóstico para la Reactivación de la Lectura</x:v>
      </x:c>
      <x:c r="E41" s="12" t="n">
        <x:v>41</x:v>
      </x:c>
      <x:c r="F41" s="12" t="n">
        <x:v>41</x:v>
      </x:c>
      <x:c r="G41" s="12" t="n">
        <x:v>0</x:v>
      </x:c>
      <x:c r="H41" s="14" t="n">
        <x:f>IF(F41=0,"",G41/F41)</x:f>
        <x:v>0</x:v>
      </x:c>
      <x:c r="I41" t="str">
        <x:v>No</x:v>
      </x:c>
      <x:c r="J41" t="str">
        <x:v>Complete el ingreso de respuestas y/o la corrección de P. de desarrollo</x:v>
      </x:c>
    </x:row>
    <x:row r="42">
      <x:c r="A42" t="str">
        <x:v>1° Ciclo</x:v>
      </x:c>
      <x:c r="B42" t="str">
        <x:v>4° Básico</x:v>
      </x:c>
      <x:c r="C42" t="str">
        <x:v>4°C</x:v>
      </x:c>
      <x:c r="D42" t="str">
        <x:v>Matemática</x:v>
      </x:c>
      <x:c r="E42" s="12" t="n">
        <x:v>41</x:v>
      </x:c>
      <x:c r="F42" s="12" t="n">
        <x:v>41</x:v>
      </x:c>
      <x:c r="G42" s="12" t="n">
        <x:v>41</x:v>
      </x:c>
      <x:c r="H42" s="14" t="n">
        <x:f>IF(F42=0,"",G42/F42)</x:f>
        <x:v>1</x:v>
      </x:c>
      <x:c r="I42" t="str">
        <x:v>Sí</x:v>
      </x:c>
      <x:c r="J42" t="str">
        <x:v>Puede descargar el informe del curso en esta área</x:v>
      </x:c>
    </x:row>
    <x:row r="43">
      <x:c r="A43" t="str">
        <x:v>1° Ciclo</x:v>
      </x:c>
      <x:c r="B43" t="str">
        <x:v>4° Básico</x:v>
      </x:c>
      <x:c r="C43" t="str">
        <x:v>4°D</x:v>
      </x:c>
      <x:c r="D43" t="str">
        <x:v>Cuestionario Aprendizaje Socioemocional</x:v>
      </x:c>
      <x:c r="E43" s="12" t="n">
        <x:v>44</x:v>
      </x:c>
      <x:c r="F43" s="12" t="n">
        <x:v>44</x:v>
      </x:c>
      <x:c r="G43" s="12" t="n">
        <x:v>39</x:v>
      </x:c>
      <x:c r="H43" s="14" t="n">
        <x:f>IF(F43=0,"",G43/F43)</x:f>
        <x:v>0.8863636363636364</x:v>
      </x:c>
      <x:c r="I43" t="str">
        <x:v>Sí</x:v>
      </x:c>
      <x:c r="J43" t="str">
        <x:v>Puede descargar el informe del curso en esta área</x:v>
      </x:c>
    </x:row>
    <x:row r="44">
      <x:c r="A44" t="str">
        <x:v>1° Ciclo</x:v>
      </x:c>
      <x:c r="B44" t="str">
        <x:v>4° Básico</x:v>
      </x:c>
      <x:c r="C44" t="str">
        <x:v>4°D</x:v>
      </x:c>
      <x:c r="D44" t="str">
        <x:v>Lectura</x:v>
      </x:c>
      <x:c r="E44" s="12" t="n">
        <x:v>44</x:v>
      </x:c>
      <x:c r="F44" s="12" t="n">
        <x:v>43</x:v>
      </x:c>
      <x:c r="G44" s="12" t="n">
        <x:v>41</x:v>
      </x:c>
      <x:c r="H44" s="14" t="n">
        <x:f>IF(F44=0,"",G44/F44)</x:f>
        <x:v>0.9534883720930233</x:v>
      </x:c>
      <x:c r="I44" t="str">
        <x:v>Sí</x:v>
      </x:c>
      <x:c r="J44" t="str">
        <x:v>Puede descargar el informe del curso en esta área</x:v>
      </x:c>
    </x:row>
    <x:row r="45">
      <x:c r="A45" t="str">
        <x:v>1° Ciclo</x:v>
      </x:c>
      <x:c r="B45" t="str">
        <x:v>4° Básico</x:v>
      </x:c>
      <x:c r="C45" t="str">
        <x:v>4°D</x:v>
      </x:c>
      <x:c r="D45" t="str">
        <x:v>Matemática</x:v>
      </x:c>
      <x:c r="E45" s="12" t="n">
        <x:v>44</x:v>
      </x:c>
      <x:c r="F45" s="12" t="n">
        <x:v>43</x:v>
      </x:c>
      <x:c r="G45" s="12" t="n">
        <x:v>40</x:v>
      </x:c>
      <x:c r="H45" s="14" t="n">
        <x:f>IF(F45=0,"",G45/F45)</x:f>
        <x:v>0.9302325581395349</x:v>
      </x:c>
      <x:c r="I45" t="str">
        <x:v>Sí</x:v>
      </x:c>
      <x:c r="J45" t="str">
        <x:v>Puede descargar el informe del curso en esta área</x:v>
      </x:c>
    </x:row>
    <x:row r="46">
      <x:c r="A46" t="str">
        <x:v>1° Ciclo</x:v>
      </x:c>
      <x:c r="B46" t="str">
        <x:v>4° Básico</x:v>
      </x:c>
      <x:c r="C46" t="str">
        <x:v>4°E</x:v>
      </x:c>
      <x:c r="D46" t="str">
        <x:v>Cuestionario Aprendizaje Socioemocional</x:v>
      </x:c>
      <x:c r="E46" s="12" t="n">
        <x:v>47</x:v>
      </x:c>
      <x:c r="F46" s="12" t="n">
        <x:v>47</x:v>
      </x:c>
      <x:c r="G46" s="12" t="n">
        <x:v>43</x:v>
      </x:c>
      <x:c r="H46" s="14" t="n">
        <x:f>IF(F46=0,"",G46/F46)</x:f>
        <x:v>0.9148936170212766</x:v>
      </x:c>
      <x:c r="I46" t="str">
        <x:v>Sí</x:v>
      </x:c>
      <x:c r="J46" t="str">
        <x:v>Puede descargar el informe del curso en esta área</x:v>
      </x:c>
    </x:row>
    <x:row r="47">
      <x:c r="A47" t="str">
        <x:v>1° Ciclo</x:v>
      </x:c>
      <x:c r="B47" t="str">
        <x:v>4° Básico</x:v>
      </x:c>
      <x:c r="C47" t="str">
        <x:v>4°E</x:v>
      </x:c>
      <x:c r="D47" t="str">
        <x:v>Lectura</x:v>
      </x:c>
      <x:c r="E47" s="12" t="n">
        <x:v>47</x:v>
      </x:c>
      <x:c r="F47" s="12" t="n">
        <x:v>41</x:v>
      </x:c>
      <x:c r="G47" s="12" t="n">
        <x:v>33</x:v>
      </x:c>
      <x:c r="H47" s="14" t="n">
        <x:f>IF(F47=0,"",G47/F47)</x:f>
        <x:v>0.8048780487804879</x:v>
      </x:c>
      <x:c r="I47" t="str">
        <x:v>Sí</x:v>
      </x:c>
      <x:c r="J47" t="str">
        <x:v>Puede descargar el informe del curso en esta área</x:v>
      </x:c>
    </x:row>
    <x:row r="48">
      <x:c r="A48" t="str">
        <x:v>1° Ciclo</x:v>
      </x:c>
      <x:c r="B48" t="str">
        <x:v>4° Básico</x:v>
      </x:c>
      <x:c r="C48" t="str">
        <x:v>4°E</x:v>
      </x:c>
      <x:c r="D48" t="str">
        <x:v>Matemática</x:v>
      </x:c>
      <x:c r="E48" s="12" t="n">
        <x:v>47</x:v>
      </x:c>
      <x:c r="F48" s="12" t="n">
        <x:v>45</x:v>
      </x:c>
      <x:c r="G48" s="12" t="n">
        <x:v>33</x:v>
      </x:c>
      <x:c r="H48" s="14" t="n">
        <x:f>IF(F48=0,"",G48/F48)</x:f>
        <x:v>0.7333333333333333</x:v>
      </x:c>
      <x:c r="I48" t="str">
        <x:v>Sí</x:v>
      </x:c>
      <x:c r="J48" t="str">
        <x:v>Puede descargar el informe del curso en esta área</x:v>
      </x:c>
    </x:row>
    <x:row r="49">
      <x:c r="A49" t="str">
        <x:v>2° Ciclo</x:v>
      </x:c>
      <x:c r="B49" t="str">
        <x:v>5° Básico</x:v>
      </x:c>
      <x:c r="C49" t="str">
        <x:v>5°A</x:v>
      </x:c>
      <x:c r="D49" t="str">
        <x:v>Lectura</x:v>
      </x:c>
      <x:c r="E49" s="12" t="n">
        <x:v>43</x:v>
      </x:c>
      <x:c r="F49" s="12" t="n">
        <x:v>43</x:v>
      </x:c>
      <x:c r="G49" s="12" t="n">
        <x:v>31</x:v>
      </x:c>
      <x:c r="H49" s="14" t="n">
        <x:f>IF(F49=0,"",G49/F49)</x:f>
        <x:v>0.7209302325581395</x:v>
      </x:c>
      <x:c r="I49" t="str">
        <x:v>Sí</x:v>
      </x:c>
      <x:c r="J49" t="str">
        <x:v>Puede descargar el informe del curso en esta área</x:v>
      </x:c>
    </x:row>
    <x:row r="50">
      <x:c r="A50" t="str">
        <x:v>2° Ciclo</x:v>
      </x:c>
      <x:c r="B50" t="str">
        <x:v>5° Básico</x:v>
      </x:c>
      <x:c r="C50" t="str">
        <x:v>5°A</x:v>
      </x:c>
      <x:c r="D50" t="str">
        <x:v>Matemática</x:v>
      </x:c>
      <x:c r="E50" s="12" t="n">
        <x:v>43</x:v>
      </x:c>
      <x:c r="F50" s="12" t="n">
        <x:v>43</x:v>
      </x:c>
      <x:c r="G50" s="12" t="n">
        <x:v>18</x:v>
      </x:c>
      <x:c r="H50" s="14" t="n">
        <x:f>IF(F50=0,"",G50/F50)</x:f>
        <x:v>0.4186046511627907</x:v>
      </x:c>
      <x:c r="I50" t="str">
        <x:v>Sí</x:v>
      </x:c>
      <x:c r="J50" t="str">
        <x:v>Puede descargar el informe del curso en esta área</x:v>
      </x:c>
    </x:row>
    <x:row r="51">
      <x:c r="A51" t="str">
        <x:v>2° Ciclo</x:v>
      </x:c>
      <x:c r="B51" t="str">
        <x:v>5° Básico</x:v>
      </x:c>
      <x:c r="C51" t="str">
        <x:v>5°A</x:v>
      </x:c>
      <x:c r="D51" t="str">
        <x:v>Historia, Geografía y Ciencias Sociales</x:v>
      </x:c>
      <x:c r="E51" s="12" t="n">
        <x:v>43</x:v>
      </x:c>
      <x:c r="F51" s="12" t="n">
        <x:v>43</x:v>
      </x:c>
      <x:c r="G51" s="12" t="n">
        <x:v>29</x:v>
      </x:c>
      <x:c r="H51" s="14" t="n">
        <x:f>IF(F51=0,"",G51/F51)</x:f>
        <x:v>0.6744186046511628</x:v>
      </x:c>
      <x:c r="I51" t="str">
        <x:v>Sí</x:v>
      </x:c>
      <x:c r="J51" t="str">
        <x:v>Puede descargar el informe del curso en esta área</x:v>
      </x:c>
    </x:row>
    <x:row r="52">
      <x:c r="A52" t="str">
        <x:v>2° Ciclo</x:v>
      </x:c>
      <x:c r="B52" t="str">
        <x:v>5° Básico</x:v>
      </x:c>
      <x:c r="C52" t="str">
        <x:v>5°A</x:v>
      </x:c>
      <x:c r="D52" t="str">
        <x:v>Ciencias Naturales</x:v>
      </x:c>
      <x:c r="E52" s="12" t="n">
        <x:v>43</x:v>
      </x:c>
      <x:c r="F52" s="12" t="n">
        <x:v>43</x:v>
      </x:c>
      <x:c r="G52" s="12" t="n">
        <x:v>34</x:v>
      </x:c>
      <x:c r="H52" s="14" t="n">
        <x:f>IF(F52=0,"",G52/F52)</x:f>
        <x:v>0.7906976744186046</x:v>
      </x:c>
      <x:c r="I52" t="str">
        <x:v>Sí</x:v>
      </x:c>
      <x:c r="J52" t="str">
        <x:v>Puede descargar el informe del curso en esta área</x:v>
      </x:c>
    </x:row>
    <x:row r="53">
      <x:c r="A53" t="str">
        <x:v>2° Ciclo</x:v>
      </x:c>
      <x:c r="B53" t="str">
        <x:v>5° Básico</x:v>
      </x:c>
      <x:c r="C53" t="str">
        <x:v>5°A</x:v>
      </x:c>
      <x:c r="D53" t="str">
        <x:v>Inglés (Listening, Reading, Writing)</x:v>
      </x:c>
      <x:c r="E53" s="12" t="n">
        <x:v>43</x:v>
      </x:c>
      <x:c r="F53" s="12" t="n">
        <x:v>43</x:v>
      </x:c>
      <x:c r="G53" s="12" t="n">
        <x:v>33</x:v>
      </x:c>
      <x:c r="H53" s="14" t="n">
        <x:f>IF(F53=0,"",G53/F53)</x:f>
        <x:v>0.7674418604651163</x:v>
      </x:c>
      <x:c r="I53" t="str">
        <x:v>Sí</x:v>
      </x:c>
      <x:c r="J53" t="str">
        <x:v>Puede descargar el informe del curso en esta área</x:v>
      </x:c>
    </x:row>
    <x:row r="54">
      <x:c r="A54" t="str">
        <x:v>2° Ciclo</x:v>
      </x:c>
      <x:c r="B54" t="str">
        <x:v>5° Básico</x:v>
      </x:c>
      <x:c r="C54" t="str">
        <x:v>5°B</x:v>
      </x:c>
      <x:c r="D54" t="str">
        <x:v>Lectura</x:v>
      </x:c>
      <x:c r="E54" s="12" t="n">
        <x:v>45</x:v>
      </x:c>
      <x:c r="F54" s="12" t="n">
        <x:v>45</x:v>
      </x:c>
      <x:c r="G54" s="12" t="n">
        <x:v>36</x:v>
      </x:c>
      <x:c r="H54" s="14" t="n">
        <x:f>IF(F54=0,"",G54/F54)</x:f>
        <x:v>0.8</x:v>
      </x:c>
      <x:c r="I54" t="str">
        <x:v>Sí</x:v>
      </x:c>
      <x:c r="J54" t="str">
        <x:v>Puede descargar el informe del curso en esta área</x:v>
      </x:c>
    </x:row>
    <x:row r="55">
      <x:c r="A55" t="str">
        <x:v>2° Ciclo</x:v>
      </x:c>
      <x:c r="B55" t="str">
        <x:v>5° Básico</x:v>
      </x:c>
      <x:c r="C55" t="str">
        <x:v>5°B</x:v>
      </x:c>
      <x:c r="D55" t="str">
        <x:v>Matemática</x:v>
      </x:c>
      <x:c r="E55" s="12" t="n">
        <x:v>45</x:v>
      </x:c>
      <x:c r="F55" s="12" t="n">
        <x:v>45</x:v>
      </x:c>
      <x:c r="G55" s="12" t="n">
        <x:v>36</x:v>
      </x:c>
      <x:c r="H55" s="14" t="n">
        <x:f>IF(F55=0,"",G55/F55)</x:f>
        <x:v>0.8</x:v>
      </x:c>
      <x:c r="I55" t="str">
        <x:v>Sí</x:v>
      </x:c>
      <x:c r="J55" t="str">
        <x:v>Puede descargar el informe del curso en esta área</x:v>
      </x:c>
    </x:row>
    <x:row r="56">
      <x:c r="A56" t="str">
        <x:v>2° Ciclo</x:v>
      </x:c>
      <x:c r="B56" t="str">
        <x:v>5° Básico</x:v>
      </x:c>
      <x:c r="C56" t="str">
        <x:v>5°B</x:v>
      </x:c>
      <x:c r="D56" t="str">
        <x:v>Historia, Geografía y Ciencias Sociales</x:v>
      </x:c>
      <x:c r="E56" s="12" t="n">
        <x:v>45</x:v>
      </x:c>
      <x:c r="F56" s="12" t="n">
        <x:v>45</x:v>
      </x:c>
      <x:c r="G56" s="12" t="n">
        <x:v>34</x:v>
      </x:c>
      <x:c r="H56" s="14" t="n">
        <x:f>IF(F56=0,"",G56/F56)</x:f>
        <x:v>0.7555555555555555</x:v>
      </x:c>
      <x:c r="I56" t="str">
        <x:v>No</x:v>
      </x:c>
      <x:c r="J56" t="str">
        <x:v>Presione el botón "GENERAR INFORME" en plataforma.</x:v>
      </x:c>
    </x:row>
    <x:row r="57">
      <x:c r="A57" t="str">
        <x:v>2° Ciclo</x:v>
      </x:c>
      <x:c r="B57" t="str">
        <x:v>5° Básico</x:v>
      </x:c>
      <x:c r="C57" t="str">
        <x:v>5°B</x:v>
      </x:c>
      <x:c r="D57" t="str">
        <x:v>Ciencias Naturales</x:v>
      </x:c>
      <x:c r="E57" s="12" t="n">
        <x:v>45</x:v>
      </x:c>
      <x:c r="F57" s="12" t="n">
        <x:v>45</x:v>
      </x:c>
      <x:c r="G57" s="12" t="n">
        <x:v>31</x:v>
      </x:c>
      <x:c r="H57" s="14" t="n">
        <x:f>IF(F57=0,"",G57/F57)</x:f>
        <x:v>0.6888888888888889</x:v>
      </x:c>
      <x:c r="I57" t="str">
        <x:v>Sí</x:v>
      </x:c>
      <x:c r="J57" t="str">
        <x:v>Puede descargar el informe del curso en esta área</x:v>
      </x:c>
    </x:row>
    <x:row r="58">
      <x:c r="A58" t="str">
        <x:v>2° Ciclo</x:v>
      </x:c>
      <x:c r="B58" t="str">
        <x:v>5° Básico</x:v>
      </x:c>
      <x:c r="C58" t="str">
        <x:v>5°B</x:v>
      </x:c>
      <x:c r="D58" t="str">
        <x:v>Inglés (Listening, Reading, Writing)</x:v>
      </x:c>
      <x:c r="E58" s="12" t="n">
        <x:v>45</x:v>
      </x:c>
      <x:c r="F58" s="12" t="n">
        <x:v>45</x:v>
      </x:c>
      <x:c r="G58" s="12" t="n">
        <x:v>34</x:v>
      </x:c>
      <x:c r="H58" s="14" t="n">
        <x:f>IF(F58=0,"",G58/F58)</x:f>
        <x:v>0.7555555555555555</x:v>
      </x:c>
      <x:c r="I58" t="str">
        <x:v>Sí</x:v>
      </x:c>
      <x:c r="J58" t="str">
        <x:v>Puede descargar el informe del curso en esta área</x:v>
      </x:c>
    </x:row>
    <x:row r="59">
      <x:c r="A59" t="str">
        <x:v>2° Ciclo</x:v>
      </x:c>
      <x:c r="B59" t="str">
        <x:v>5° Básico</x:v>
      </x:c>
      <x:c r="C59" t="str">
        <x:v>5°C</x:v>
      </x:c>
      <x:c r="D59" t="str">
        <x:v>Cuestionario Aprendizaje Socioemocional</x:v>
      </x:c>
      <x:c r="E59" s="12" t="n">
        <x:v>40</x:v>
      </x:c>
      <x:c r="F59" s="12" t="n">
        <x:v>40</x:v>
      </x:c>
      <x:c r="G59" s="12" t="n">
        <x:v>0</x:v>
      </x:c>
      <x:c r="H59" s="14" t="n">
        <x:f>IF(F59=0,"",G59/F59)</x:f>
        <x:v>0</x:v>
      </x:c>
      <x:c r="I59" t="str">
        <x:v>No</x:v>
      </x:c>
      <x:c r="J59" t="str">
        <x:v>Complete el ingreso de respuestas y/o la corrección de P. de desarrollo</x:v>
      </x:c>
    </x:row>
    <x:row r="60">
      <x:c r="A60" t="str">
        <x:v>2° Ciclo</x:v>
      </x:c>
      <x:c r="B60" t="str">
        <x:v>5° Básico</x:v>
      </x:c>
      <x:c r="C60" t="str">
        <x:v>5°C</x:v>
      </x:c>
      <x:c r="D60" t="str">
        <x:v>Lectura</x:v>
      </x:c>
      <x:c r="E60" s="12" t="n">
        <x:v>40</x:v>
      </x:c>
      <x:c r="F60" s="12" t="n">
        <x:v>40</x:v>
      </x:c>
      <x:c r="G60" s="12" t="n">
        <x:v>35</x:v>
      </x:c>
      <x:c r="H60" s="14" t="n">
        <x:f>IF(F60=0,"",G60/F60)</x:f>
        <x:v>0.875</x:v>
      </x:c>
      <x:c r="I60" t="str">
        <x:v>Sí</x:v>
      </x:c>
      <x:c r="J60" t="str">
        <x:v>Puede descargar el informe del curso en esta área</x:v>
      </x:c>
    </x:row>
    <x:row r="61">
      <x:c r="A61" t="str">
        <x:v>2° Ciclo</x:v>
      </x:c>
      <x:c r="B61" t="str">
        <x:v>5° Básico</x:v>
      </x:c>
      <x:c r="C61" t="str">
        <x:v>5°C</x:v>
      </x:c>
      <x:c r="D61" t="str">
        <x:v>Matemática</x:v>
      </x:c>
      <x:c r="E61" s="12" t="n">
        <x:v>40</x:v>
      </x:c>
      <x:c r="F61" s="12" t="n">
        <x:v>40</x:v>
      </x:c>
      <x:c r="G61" s="12" t="n">
        <x:v>0</x:v>
      </x:c>
      <x:c r="H61" s="14" t="n">
        <x:f>IF(F61=0,"",G61/F61)</x:f>
        <x:v>0</x:v>
      </x:c>
      <x:c r="I61" t="str">
        <x:v>No</x:v>
      </x:c>
      <x:c r="J61" t="str">
        <x:v>Complete el ingreso de respuestas y/o la corrección de P. de desarrollo</x:v>
      </x:c>
    </x:row>
    <x:row r="62">
      <x:c r="A62" t="str">
        <x:v>2° Ciclo</x:v>
      </x:c>
      <x:c r="B62" t="str">
        <x:v>5° Básico</x:v>
      </x:c>
      <x:c r="C62" t="str">
        <x:v>5°C</x:v>
      </x:c>
      <x:c r="D62" t="str">
        <x:v>Historia, Geografía y Ciencias Sociales</x:v>
      </x:c>
      <x:c r="E62" s="12" t="n">
        <x:v>40</x:v>
      </x:c>
      <x:c r="F62" s="12" t="n">
        <x:v>40</x:v>
      </x:c>
      <x:c r="G62" s="12" t="n">
        <x:v>31</x:v>
      </x:c>
      <x:c r="H62" s="14" t="n">
        <x:f>IF(F62=0,"",G62/F62)</x:f>
        <x:v>0.775</x:v>
      </x:c>
      <x:c r="I62" t="str">
        <x:v>Sí</x:v>
      </x:c>
      <x:c r="J62" t="str">
        <x:v>Puede descargar el informe del curso en esta área</x:v>
      </x:c>
    </x:row>
    <x:row r="63">
      <x:c r="A63" t="str">
        <x:v>2° Ciclo</x:v>
      </x:c>
      <x:c r="B63" t="str">
        <x:v>5° Básico</x:v>
      </x:c>
      <x:c r="C63" t="str">
        <x:v>5°C</x:v>
      </x:c>
      <x:c r="D63" t="str">
        <x:v>Ciencias Naturales</x:v>
      </x:c>
      <x:c r="E63" s="12" t="n">
        <x:v>40</x:v>
      </x:c>
      <x:c r="F63" s="12" t="n">
        <x:v>40</x:v>
      </x:c>
      <x:c r="G63" s="12" t="n">
        <x:v>29</x:v>
      </x:c>
      <x:c r="H63" s="14" t="n">
        <x:f>IF(F63=0,"",G63/F63)</x:f>
        <x:v>0.725</x:v>
      </x:c>
      <x:c r="I63" t="str">
        <x:v>Sí</x:v>
      </x:c>
      <x:c r="J63" t="str">
        <x:v>Puede descargar el informe del curso en esta área</x:v>
      </x:c>
    </x:row>
    <x:row r="64">
      <x:c r="A64" t="str">
        <x:v>2° Ciclo</x:v>
      </x:c>
      <x:c r="B64" t="str">
        <x:v>5° Básico</x:v>
      </x:c>
      <x:c r="C64" t="str">
        <x:v>5°C</x:v>
      </x:c>
      <x:c r="D64" t="str">
        <x:v>Inglés (Listening, Reading, Writing)</x:v>
      </x:c>
      <x:c r="E64" s="12" t="n">
        <x:v>40</x:v>
      </x:c>
      <x:c r="F64" s="12" t="n">
        <x:v>40</x:v>
      </x:c>
      <x:c r="G64" s="12" t="n">
        <x:v>0</x:v>
      </x:c>
      <x:c r="H64" s="14" t="n">
        <x:f>IF(F64=0,"",G64/F64)</x:f>
        <x:v>0</x:v>
      </x:c>
      <x:c r="I64" t="str">
        <x:v>No</x:v>
      </x:c>
      <x:c r="J64" t="str">
        <x:v>Complete el ingreso de respuestas y/o la corrección de P. de desarrollo</x:v>
      </x:c>
    </x:row>
    <x:row r="65">
      <x:c r="A65" t="str">
        <x:v>2° Ciclo</x:v>
      </x:c>
      <x:c r="B65" t="str">
        <x:v>5° Básico</x:v>
      </x:c>
      <x:c r="C65" t="str">
        <x:v>5°D</x:v>
      </x:c>
      <x:c r="D65" t="str">
        <x:v>Lectura</x:v>
      </x:c>
      <x:c r="E65" s="12" t="n">
        <x:v>45</x:v>
      </x:c>
      <x:c r="F65" s="12" t="n">
        <x:v>44</x:v>
      </x:c>
      <x:c r="G65" s="12" t="n">
        <x:v>34</x:v>
      </x:c>
      <x:c r="H65" s="14" t="n">
        <x:f>IF(F65=0,"",G65/F65)</x:f>
        <x:v>0.7727272727272727</x:v>
      </x:c>
      <x:c r="I65" t="str">
        <x:v>Sí</x:v>
      </x:c>
      <x:c r="J65" t="str">
        <x:v>Puede descargar el informe del curso en esta área</x:v>
      </x:c>
    </x:row>
    <x:row r="66">
      <x:c r="A66" t="str">
        <x:v>2° Ciclo</x:v>
      </x:c>
      <x:c r="B66" t="str">
        <x:v>5° Básico</x:v>
      </x:c>
      <x:c r="C66" t="str">
        <x:v>5°D</x:v>
      </x:c>
      <x:c r="D66" t="str">
        <x:v>Matemática</x:v>
      </x:c>
      <x:c r="E66" s="12" t="n">
        <x:v>45</x:v>
      </x:c>
      <x:c r="F66" s="12" t="n">
        <x:v>45</x:v>
      </x:c>
      <x:c r="G66" s="12" t="n">
        <x:v>36</x:v>
      </x:c>
      <x:c r="H66" s="14" t="n">
        <x:f>IF(F66=0,"",G66/F66)</x:f>
        <x:v>0.8</x:v>
      </x:c>
      <x:c r="I66" t="str">
        <x:v>Sí</x:v>
      </x:c>
      <x:c r="J66" t="str">
        <x:v>Puede descargar el informe del curso en esta área</x:v>
      </x:c>
    </x:row>
    <x:row r="67">
      <x:c r="A67" t="str">
        <x:v>2° Ciclo</x:v>
      </x:c>
      <x:c r="B67" t="str">
        <x:v>5° Básico</x:v>
      </x:c>
      <x:c r="C67" t="str">
        <x:v>5°D</x:v>
      </x:c>
      <x:c r="D67" t="str">
        <x:v>Historia, Geografía y Ciencias Sociales</x:v>
      </x:c>
      <x:c r="E67" s="12" t="n">
        <x:v>45</x:v>
      </x:c>
      <x:c r="F67" s="12" t="n">
        <x:v>44</x:v>
      </x:c>
      <x:c r="G67" s="12" t="n">
        <x:v>38</x:v>
      </x:c>
      <x:c r="H67" s="14" t="n">
        <x:f>IF(F67=0,"",G67/F67)</x:f>
        <x:v>0.8636363636363636</x:v>
      </x:c>
      <x:c r="I67" t="str">
        <x:v>Sí</x:v>
      </x:c>
      <x:c r="J67" t="str">
        <x:v>Puede descargar el informe del curso en esta área</x:v>
      </x:c>
    </x:row>
    <x:row r="68">
      <x:c r="A68" t="str">
        <x:v>2° Ciclo</x:v>
      </x:c>
      <x:c r="B68" t="str">
        <x:v>5° Básico</x:v>
      </x:c>
      <x:c r="C68" t="str">
        <x:v>5°D</x:v>
      </x:c>
      <x:c r="D68" t="str">
        <x:v>Ciencias Naturales</x:v>
      </x:c>
      <x:c r="E68" s="12" t="n">
        <x:v>45</x:v>
      </x:c>
      <x:c r="F68" s="12" t="n">
        <x:v>44</x:v>
      </x:c>
      <x:c r="G68" s="12" t="n">
        <x:v>31</x:v>
      </x:c>
      <x:c r="H68" s="14" t="n">
        <x:f>IF(F68=0,"",G68/F68)</x:f>
        <x:v>0.7045454545454546</x:v>
      </x:c>
      <x:c r="I68" t="str">
        <x:v>Sí</x:v>
      </x:c>
      <x:c r="J68" t="str">
        <x:v>Puede descargar el informe del curso en esta área</x:v>
      </x:c>
    </x:row>
    <x:row r="69">
      <x:c r="A69" t="str">
        <x:v>2° Ciclo</x:v>
      </x:c>
      <x:c r="B69" t="str">
        <x:v>5° Básico</x:v>
      </x:c>
      <x:c r="C69" t="str">
        <x:v>5°D</x:v>
      </x:c>
      <x:c r="D69" t="str">
        <x:v>Inglés (Listening, Reading, Writing)</x:v>
      </x:c>
      <x:c r="E69" s="12" t="n">
        <x:v>45</x:v>
      </x:c>
      <x:c r="F69" s="12" t="n">
        <x:v>44</x:v>
      </x:c>
      <x:c r="G69" s="12" t="n">
        <x:v>0</x:v>
      </x:c>
      <x:c r="H69" s="14" t="n">
        <x:f>IF(F69=0,"",G69/F69)</x:f>
        <x:v>0</x:v>
      </x:c>
      <x:c r="I69" t="str">
        <x:v>No</x:v>
      </x:c>
      <x:c r="J69" t="str">
        <x:v>Complete el ingreso de respuestas y/o la corrección de P. de desarrollo</x:v>
      </x:c>
    </x:row>
    <x:row r="70">
      <x:c r="A70" t="str">
        <x:v>2° Ciclo</x:v>
      </x:c>
      <x:c r="B70" t="str">
        <x:v>5° Básico</x:v>
      </x:c>
      <x:c r="C70" t="str">
        <x:v>5°E</x:v>
      </x:c>
      <x:c r="D70" t="str">
        <x:v>Cuestionario Aprendizaje Socioemocional</x:v>
      </x:c>
      <x:c r="E70" s="12" t="n">
        <x:v>49</x:v>
      </x:c>
      <x:c r="F70" s="12" t="n">
        <x:v>47</x:v>
      </x:c>
      <x:c r="G70" s="12" t="n">
        <x:v>43</x:v>
      </x:c>
      <x:c r="H70" s="14" t="n">
        <x:f>IF(F70=0,"",G70/F70)</x:f>
        <x:v>0.9148936170212766</x:v>
      </x:c>
      <x:c r="I70" t="str">
        <x:v>Sí</x:v>
      </x:c>
      <x:c r="J70" t="str">
        <x:v>Puede descargar el informe del curso en esta área</x:v>
      </x:c>
    </x:row>
    <x:row r="71">
      <x:c r="A71" t="str">
        <x:v>2° Ciclo</x:v>
      </x:c>
      <x:c r="B71" t="str">
        <x:v>5° Básico</x:v>
      </x:c>
      <x:c r="C71" t="str">
        <x:v>5°E</x:v>
      </x:c>
      <x:c r="D71" t="str">
        <x:v>Lectura</x:v>
      </x:c>
      <x:c r="E71" s="12" t="n">
        <x:v>49</x:v>
      </x:c>
      <x:c r="F71" s="12" t="n">
        <x:v>49</x:v>
      </x:c>
      <x:c r="G71" s="12" t="n">
        <x:v>44</x:v>
      </x:c>
      <x:c r="H71" s="14" t="n">
        <x:f>IF(F71=0,"",G71/F71)</x:f>
        <x:v>0.8979591836734694</x:v>
      </x:c>
      <x:c r="I71" t="str">
        <x:v>Sí</x:v>
      </x:c>
      <x:c r="J71" t="str">
        <x:v>Puede descargar el informe del curso en esta área</x:v>
      </x:c>
    </x:row>
    <x:row r="72">
      <x:c r="A72" t="str">
        <x:v>2° Ciclo</x:v>
      </x:c>
      <x:c r="B72" t="str">
        <x:v>5° Básico</x:v>
      </x:c>
      <x:c r="C72" t="str">
        <x:v>5°E</x:v>
      </x:c>
      <x:c r="D72" t="str">
        <x:v>Matemática</x:v>
      </x:c>
      <x:c r="E72" s="12" t="n">
        <x:v>49</x:v>
      </x:c>
      <x:c r="F72" s="12" t="n">
        <x:v>49</x:v>
      </x:c>
      <x:c r="G72" s="12" t="n">
        <x:v>43</x:v>
      </x:c>
      <x:c r="H72" s="14" t="n">
        <x:f>IF(F72=0,"",G72/F72)</x:f>
        <x:v>0.8775510204081632</x:v>
      </x:c>
      <x:c r="I72" t="str">
        <x:v>Sí</x:v>
      </x:c>
      <x:c r="J72" t="str">
        <x:v>Puede descargar el informe del curso en esta área</x:v>
      </x:c>
    </x:row>
    <x:row r="73">
      <x:c r="A73" t="str">
        <x:v>2° Ciclo</x:v>
      </x:c>
      <x:c r="B73" t="str">
        <x:v>5° Básico</x:v>
      </x:c>
      <x:c r="C73" t="str">
        <x:v>5°E</x:v>
      </x:c>
      <x:c r="D73" t="str">
        <x:v>Historia, Geografía y Ciencias Sociales</x:v>
      </x:c>
      <x:c r="E73" s="12" t="n">
        <x:v>49</x:v>
      </x:c>
      <x:c r="F73" s="12" t="n">
        <x:v>49</x:v>
      </x:c>
      <x:c r="G73" s="12" t="n">
        <x:v>43</x:v>
      </x:c>
      <x:c r="H73" s="14" t="n">
        <x:f>IF(F73=0,"",G73/F73)</x:f>
        <x:v>0.8775510204081632</x:v>
      </x:c>
      <x:c r="I73" t="str">
        <x:v>Sí</x:v>
      </x:c>
      <x:c r="J73" t="str">
        <x:v>Puede descargar el informe del curso en esta área</x:v>
      </x:c>
    </x:row>
    <x:row r="74">
      <x:c r="A74" t="str">
        <x:v>2° Ciclo</x:v>
      </x:c>
      <x:c r="B74" t="str">
        <x:v>5° Básico</x:v>
      </x:c>
      <x:c r="C74" t="str">
        <x:v>5°E</x:v>
      </x:c>
      <x:c r="D74" t="str">
        <x:v>Ciencias Naturales</x:v>
      </x:c>
      <x:c r="E74" s="12" t="n">
        <x:v>49</x:v>
      </x:c>
      <x:c r="F74" s="12" t="n">
        <x:v>49</x:v>
      </x:c>
      <x:c r="G74" s="12" t="n">
        <x:v>38</x:v>
      </x:c>
      <x:c r="H74" s="14" t="n">
        <x:f>IF(F74=0,"",G74/F74)</x:f>
        <x:v>0.7755102040816326</x:v>
      </x:c>
      <x:c r="I74" t="str">
        <x:v>No</x:v>
      </x:c>
      <x:c r="J74" t="str">
        <x:v>Complete el ingreso de respuestas y/o la corrección de P. de desarrollo</x:v>
      </x:c>
    </x:row>
    <x:row r="75">
      <x:c r="A75" t="str">
        <x:v>2° Ciclo</x:v>
      </x:c>
      <x:c r="B75" t="str">
        <x:v>5° Básico</x:v>
      </x:c>
      <x:c r="C75" t="str">
        <x:v>5°E</x:v>
      </x:c>
      <x:c r="D75" t="str">
        <x:v>Inglés (Listening, Reading, Writing)</x:v>
      </x:c>
      <x:c r="E75" s="12" t="n">
        <x:v>49</x:v>
      </x:c>
      <x:c r="F75" s="12" t="n">
        <x:v>49</x:v>
      </x:c>
      <x:c r="G75" s="12" t="n">
        <x:v>30</x:v>
      </x:c>
      <x:c r="H75" s="14" t="n">
        <x:f>IF(F75=0,"",G75/F75)</x:f>
        <x:v>0.6122448979591837</x:v>
      </x:c>
      <x:c r="I75" t="str">
        <x:v>No</x:v>
      </x:c>
      <x:c r="J75" t="str">
        <x:v>Complete el ingreso de respuestas y/o la corrección de P. de desarrollo</x:v>
      </x:c>
    </x:row>
    <x:row r="76">
      <x:c r="A76" t="str">
        <x:v>2° Ciclo</x:v>
      </x:c>
      <x:c r="B76" t="str">
        <x:v>5° Básico</x:v>
      </x:c>
      <x:c r="C76" t="str">
        <x:v>5°E</x:v>
      </x:c>
      <x:c r="D76" t="str">
        <x:v>Inglés (Speaking)</x:v>
      </x:c>
      <x:c r="E76" s="12" t="n">
        <x:v>49</x:v>
      </x:c>
      <x:c r="F76" s="12" t="n">
        <x:v>47</x:v>
      </x:c>
      <x:c r="G76" s="12" t="n">
        <x:v>13</x:v>
      </x:c>
      <x:c r="H76" s="14" t="n">
        <x:f>IF(F76=0,"",G76/F76)</x:f>
        <x:v>0.2765957446808511</x:v>
      </x:c>
      <x:c r="I76" t="str">
        <x:v>Sí</x:v>
      </x:c>
      <x:c r="J76" t="str">
        <x:v>Puede descargar el informe del curso en esta área</x:v>
      </x:c>
    </x:row>
    <x:row r="77">
      <x:c r="A77" t="str">
        <x:v>2° Ciclo</x:v>
      </x:c>
      <x:c r="B77" t="str">
        <x:v>5° Básico</x:v>
      </x:c>
      <x:c r="C77" t="str">
        <x:v>5°F</x:v>
      </x:c>
      <x:c r="D77" t="str">
        <x:v>Cuestionario Aprendizaje Socioemocional</x:v>
      </x:c>
      <x:c r="E77" s="12" t="n">
        <x:v>46</x:v>
      </x:c>
      <x:c r="F77" s="12" t="n">
        <x:v>46</x:v>
      </x:c>
      <x:c r="G77" s="12" t="n">
        <x:v>41</x:v>
      </x:c>
      <x:c r="H77" s="14" t="n">
        <x:f>IF(F77=0,"",G77/F77)</x:f>
        <x:v>0.8913043478260869</x:v>
      </x:c>
      <x:c r="I77" t="str">
        <x:v>Sí</x:v>
      </x:c>
      <x:c r="J77" t="str">
        <x:v>Puede descargar el informe del curso en esta área</x:v>
      </x:c>
    </x:row>
    <x:row r="78">
      <x:c r="A78" t="str">
        <x:v>2° Ciclo</x:v>
      </x:c>
      <x:c r="B78" t="str">
        <x:v>5° Básico</x:v>
      </x:c>
      <x:c r="C78" t="str">
        <x:v>5°F</x:v>
      </x:c>
      <x:c r="D78" t="str">
        <x:v>Lectura</x:v>
      </x:c>
      <x:c r="E78" s="12" t="n">
        <x:v>46</x:v>
      </x:c>
      <x:c r="F78" s="12" t="n">
        <x:v>46</x:v>
      </x:c>
      <x:c r="G78" s="12" t="n">
        <x:v>39</x:v>
      </x:c>
      <x:c r="H78" s="14" t="n">
        <x:f>IF(F78=0,"",G78/F78)</x:f>
        <x:v>0.8478260869565217</x:v>
      </x:c>
      <x:c r="I78" t="str">
        <x:v>Sí</x:v>
      </x:c>
      <x:c r="J78" t="str">
        <x:v>Puede descargar el informe del curso en esta área</x:v>
      </x:c>
    </x:row>
    <x:row r="79">
      <x:c r="A79" t="str">
        <x:v>2° Ciclo</x:v>
      </x:c>
      <x:c r="B79" t="str">
        <x:v>5° Básico</x:v>
      </x:c>
      <x:c r="C79" t="str">
        <x:v>5°F</x:v>
      </x:c>
      <x:c r="D79" t="str">
        <x:v>Matemática</x:v>
      </x:c>
      <x:c r="E79" s="12" t="n">
        <x:v>46</x:v>
      </x:c>
      <x:c r="F79" s="12" t="n">
        <x:v>46</x:v>
      </x:c>
      <x:c r="G79" s="12" t="n">
        <x:v>42</x:v>
      </x:c>
      <x:c r="H79" s="14" t="n">
        <x:f>IF(F79=0,"",G79/F79)</x:f>
        <x:v>0.9130434782608695</x:v>
      </x:c>
      <x:c r="I79" t="str">
        <x:v>Sí</x:v>
      </x:c>
      <x:c r="J79" t="str">
        <x:v>Puede descargar el informe del curso en esta área</x:v>
      </x:c>
    </x:row>
    <x:row r="80">
      <x:c r="A80" t="str">
        <x:v>2° Ciclo</x:v>
      </x:c>
      <x:c r="B80" t="str">
        <x:v>5° Básico</x:v>
      </x:c>
      <x:c r="C80" t="str">
        <x:v>5°F</x:v>
      </x:c>
      <x:c r="D80" t="str">
        <x:v>Historia, Geografía y Ciencias Sociales</x:v>
      </x:c>
      <x:c r="E80" s="12" t="n">
        <x:v>46</x:v>
      </x:c>
      <x:c r="F80" s="12" t="n">
        <x:v>46</x:v>
      </x:c>
      <x:c r="G80" s="12" t="n">
        <x:v>39</x:v>
      </x:c>
      <x:c r="H80" s="14" t="n">
        <x:f>IF(F80=0,"",G80/F80)</x:f>
        <x:v>0.8478260869565217</x:v>
      </x:c>
      <x:c r="I80" t="str">
        <x:v>Sí</x:v>
      </x:c>
      <x:c r="J80" t="str">
        <x:v>Puede descargar el informe del curso en esta área</x:v>
      </x:c>
    </x:row>
    <x:row r="81">
      <x:c r="A81" t="str">
        <x:v>2° Ciclo</x:v>
      </x:c>
      <x:c r="B81" t="str">
        <x:v>5° Básico</x:v>
      </x:c>
      <x:c r="C81" t="str">
        <x:v>5°F</x:v>
      </x:c>
      <x:c r="D81" t="str">
        <x:v>Ciencias Naturales</x:v>
      </x:c>
      <x:c r="E81" s="12" t="n">
        <x:v>46</x:v>
      </x:c>
      <x:c r="F81" s="12" t="n">
        <x:v>46</x:v>
      </x:c>
      <x:c r="G81" s="12" t="n">
        <x:v>36</x:v>
      </x:c>
      <x:c r="H81" s="14" t="n">
        <x:f>IF(F81=0,"",G81/F81)</x:f>
        <x:v>0.782608695652174</x:v>
      </x:c>
      <x:c r="I81" t="str">
        <x:v>No</x:v>
      </x:c>
      <x:c r="J81" t="str">
        <x:v>Complete el ingreso de respuestas y/o la corrección de P. de desarrollo</x:v>
      </x:c>
    </x:row>
    <x:row r="82">
      <x:c r="A82" t="str">
        <x:v>2° Ciclo</x:v>
      </x:c>
      <x:c r="B82" t="str">
        <x:v>5° Básico</x:v>
      </x:c>
      <x:c r="C82" t="str">
        <x:v>5°F</x:v>
      </x:c>
      <x:c r="D82" t="str">
        <x:v>Inglés (Listening, Reading, Writing)</x:v>
      </x:c>
      <x:c r="E82" s="12" t="n">
        <x:v>46</x:v>
      </x:c>
      <x:c r="F82" s="12" t="n">
        <x:v>46</x:v>
      </x:c>
      <x:c r="G82" s="12" t="n">
        <x:v>29</x:v>
      </x:c>
      <x:c r="H82" s="14" t="n">
        <x:f>IF(F82=0,"",G82/F82)</x:f>
        <x:v>0.6304347826086957</x:v>
      </x:c>
      <x:c r="I82" t="str">
        <x:v>No</x:v>
      </x:c>
      <x:c r="J82" t="str">
        <x:v>Complete el ingreso de respuestas y/o la corrección de P. de desarrollo</x:v>
      </x:c>
    </x:row>
    <x:row r="83">
      <x:c r="A83" t="str">
        <x:v>2° Ciclo</x:v>
      </x:c>
      <x:c r="B83" t="str">
        <x:v>5° Básico</x:v>
      </x:c>
      <x:c r="C83" t="str">
        <x:v>5°F</x:v>
      </x:c>
      <x:c r="D83" t="str">
        <x:v>Inglés (Speaking)</x:v>
      </x:c>
      <x:c r="E83" s="12" t="n">
        <x:v>46</x:v>
      </x:c>
      <x:c r="F83" s="12" t="n">
        <x:v>46</x:v>
      </x:c>
      <x:c r="G83" s="12" t="n">
        <x:v>16</x:v>
      </x:c>
      <x:c r="H83" s="14" t="n">
        <x:f>IF(F83=0,"",G83/F83)</x:f>
        <x:v>0.34782608695652173</x:v>
      </x:c>
      <x:c r="I83" t="str">
        <x:v>Sí</x:v>
      </x:c>
      <x:c r="J83" t="str">
        <x:v>Puede descargar el informe del curso en esta área</x:v>
      </x:c>
    </x:row>
    <x:row r="84">
      <x:c r="A84" t="str">
        <x:v>2° Ciclo</x:v>
      </x:c>
      <x:c r="B84" t="str">
        <x:v>6° Básico</x:v>
      </x:c>
      <x:c r="C84" t="str">
        <x:v>6°A</x:v>
      </x:c>
      <x:c r="D84" t="str">
        <x:v>Lectura</x:v>
      </x:c>
      <x:c r="E84" s="12" t="n">
        <x:v>44</x:v>
      </x:c>
      <x:c r="F84" s="12" t="n">
        <x:v>44</x:v>
      </x:c>
      <x:c r="G84" s="12" t="n">
        <x:v>37</x:v>
      </x:c>
      <x:c r="H84" s="14" t="n">
        <x:f>IF(F84=0,"",G84/F84)</x:f>
        <x:v>0.8409090909090909</x:v>
      </x:c>
      <x:c r="I84" t="str">
        <x:v>Sí</x:v>
      </x:c>
      <x:c r="J84" t="str">
        <x:v>Puede descargar el informe del curso en esta área</x:v>
      </x:c>
    </x:row>
    <x:row r="85">
      <x:c r="A85" t="str">
        <x:v>2° Ciclo</x:v>
      </x:c>
      <x:c r="B85" t="str">
        <x:v>6° Básico</x:v>
      </x:c>
      <x:c r="C85" t="str">
        <x:v>6°A</x:v>
      </x:c>
      <x:c r="D85" t="str">
        <x:v>Historia, Geografía y Ciencias Sociales</x:v>
      </x:c>
      <x:c r="E85" s="12" t="n">
        <x:v>44</x:v>
      </x:c>
      <x:c r="F85" s="12" t="n">
        <x:v>44</x:v>
      </x:c>
      <x:c r="G85" s="12" t="n">
        <x:v>34</x:v>
      </x:c>
      <x:c r="H85" s="14" t="n">
        <x:f>IF(F85=0,"",G85/F85)</x:f>
        <x:v>0.7727272727272727</x:v>
      </x:c>
      <x:c r="I85" t="str">
        <x:v>Sí</x:v>
      </x:c>
      <x:c r="J85" t="str">
        <x:v>Puede descargar el informe del curso en esta área</x:v>
      </x:c>
    </x:row>
    <x:row r="86">
      <x:c r="A86" t="str">
        <x:v>2° Ciclo</x:v>
      </x:c>
      <x:c r="B86" t="str">
        <x:v>6° Básico</x:v>
      </x:c>
      <x:c r="C86" t="str">
        <x:v>6°A</x:v>
      </x:c>
      <x:c r="D86" t="str">
        <x:v>Ciencias Naturales</x:v>
      </x:c>
      <x:c r="E86" s="12" t="n">
        <x:v>44</x:v>
      </x:c>
      <x:c r="F86" s="12" t="n">
        <x:v>44</x:v>
      </x:c>
      <x:c r="G86" s="12" t="n">
        <x:v>32</x:v>
      </x:c>
      <x:c r="H86" s="14" t="n">
        <x:f>IF(F86=0,"",G86/F86)</x:f>
        <x:v>0.7272727272727273</x:v>
      </x:c>
      <x:c r="I86" t="str">
        <x:v>Sí</x:v>
      </x:c>
      <x:c r="J86" t="str">
        <x:v>Puede descargar el informe del curso en esta área</x:v>
      </x:c>
    </x:row>
    <x:row r="87">
      <x:c r="A87" t="str">
        <x:v>2° Ciclo</x:v>
      </x:c>
      <x:c r="B87" t="str">
        <x:v>6° Básico</x:v>
      </x:c>
      <x:c r="C87" t="str">
        <x:v>6°A</x:v>
      </x:c>
      <x:c r="D87" t="str">
        <x:v>Inglés (Listening, Reading, Writing)</x:v>
      </x:c>
      <x:c r="E87" s="12" t="n">
        <x:v>44</x:v>
      </x:c>
      <x:c r="F87" s="12" t="n">
        <x:v>44</x:v>
      </x:c>
      <x:c r="G87" s="12" t="n">
        <x:v>0</x:v>
      </x:c>
      <x:c r="H87" s="14" t="n">
        <x:f>IF(F87=0,"",G87/F87)</x:f>
        <x:v>0</x:v>
      </x:c>
      <x:c r="I87" t="str">
        <x:v>No</x:v>
      </x:c>
      <x:c r="J87" t="str">
        <x:v>Complete el ingreso de respuestas y/o la corrección de P. de desarrollo</x:v>
      </x:c>
    </x:row>
    <x:row r="88">
      <x:c r="A88" t="str">
        <x:v>2° Ciclo</x:v>
      </x:c>
      <x:c r="B88" t="str">
        <x:v>6° Básico</x:v>
      </x:c>
      <x:c r="C88" t="str">
        <x:v>6°B</x:v>
      </x:c>
      <x:c r="D88" t="str">
        <x:v>Lectura</x:v>
      </x:c>
      <x:c r="E88" s="12" t="n">
        <x:v>47</x:v>
      </x:c>
      <x:c r="F88" s="12" t="n">
        <x:v>47</x:v>
      </x:c>
      <x:c r="G88" s="12" t="n">
        <x:v>40</x:v>
      </x:c>
      <x:c r="H88" s="14" t="n">
        <x:f>IF(F88=0,"",G88/F88)</x:f>
        <x:v>0.851063829787234</x:v>
      </x:c>
      <x:c r="I88" t="str">
        <x:v>Sí</x:v>
      </x:c>
      <x:c r="J88" t="str">
        <x:v>Puede descargar el informe del curso en esta área</x:v>
      </x:c>
    </x:row>
    <x:row r="89">
      <x:c r="A89" t="str">
        <x:v>2° Ciclo</x:v>
      </x:c>
      <x:c r="B89" t="str">
        <x:v>6° Básico</x:v>
      </x:c>
      <x:c r="C89" t="str">
        <x:v>6°B</x:v>
      </x:c>
      <x:c r="D89" t="str">
        <x:v>Matemática</x:v>
      </x:c>
      <x:c r="E89" s="12" t="n">
        <x:v>47</x:v>
      </x:c>
      <x:c r="F89" s="12" t="n">
        <x:v>47</x:v>
      </x:c>
      <x:c r="G89" s="12" t="n">
        <x:v>0</x:v>
      </x:c>
      <x:c r="H89" s="14" t="n">
        <x:f>IF(F89=0,"",G89/F89)</x:f>
        <x:v>0</x:v>
      </x:c>
      <x:c r="I89" t="str">
        <x:v>No</x:v>
      </x:c>
      <x:c r="J89" t="str">
        <x:v>Complete el ingreso de respuestas y/o la corrección de P. de desarrollo</x:v>
      </x:c>
    </x:row>
    <x:row r="90">
      <x:c r="A90" t="str">
        <x:v>2° Ciclo</x:v>
      </x:c>
      <x:c r="B90" t="str">
        <x:v>6° Básico</x:v>
      </x:c>
      <x:c r="C90" t="str">
        <x:v>6°B</x:v>
      </x:c>
      <x:c r="D90" t="str">
        <x:v>Historia, Geografía y Ciencias Sociales</x:v>
      </x:c>
      <x:c r="E90" s="12" t="n">
        <x:v>47</x:v>
      </x:c>
      <x:c r="F90" s="12" t="n">
        <x:v>47</x:v>
      </x:c>
      <x:c r="G90" s="12" t="n">
        <x:v>38</x:v>
      </x:c>
      <x:c r="H90" s="14" t="n">
        <x:f>IF(F90=0,"",G90/F90)</x:f>
        <x:v>0.8085106382978723</x:v>
      </x:c>
      <x:c r="I90" t="str">
        <x:v>Sí</x:v>
      </x:c>
      <x:c r="J90" t="str">
        <x:v>Puede descargar el informe del curso en esta área</x:v>
      </x:c>
    </x:row>
    <x:row r="91">
      <x:c r="A91" t="str">
        <x:v>2° Ciclo</x:v>
      </x:c>
      <x:c r="B91" t="str">
        <x:v>6° Básico</x:v>
      </x:c>
      <x:c r="C91" t="str">
        <x:v>6°B</x:v>
      </x:c>
      <x:c r="D91" t="str">
        <x:v>Ciencias Naturales</x:v>
      </x:c>
      <x:c r="E91" s="12" t="n">
        <x:v>47</x:v>
      </x:c>
      <x:c r="F91" s="12" t="n">
        <x:v>47</x:v>
      </x:c>
      <x:c r="G91" s="12" t="n">
        <x:v>35</x:v>
      </x:c>
      <x:c r="H91" s="14" t="n">
        <x:f>IF(F91=0,"",G91/F91)</x:f>
        <x:v>0.7446808510638298</x:v>
      </x:c>
      <x:c r="I91" t="str">
        <x:v>Sí</x:v>
      </x:c>
      <x:c r="J91" t="str">
        <x:v>Puede descargar el informe del curso en esta área</x:v>
      </x:c>
    </x:row>
    <x:row r="92">
      <x:c r="A92" t="str">
        <x:v>2° Ciclo</x:v>
      </x:c>
      <x:c r="B92" t="str">
        <x:v>6° Básico</x:v>
      </x:c>
      <x:c r="C92" t="str">
        <x:v>6°B</x:v>
      </x:c>
      <x:c r="D92" t="str">
        <x:v>Inglés (Listening, Reading, Writing)</x:v>
      </x:c>
      <x:c r="E92" s="12" t="n">
        <x:v>47</x:v>
      </x:c>
      <x:c r="F92" s="12" t="n">
        <x:v>44</x:v>
      </x:c>
      <x:c r="G92" s="12" t="n">
        <x:v>0</x:v>
      </x:c>
      <x:c r="H92" s="14" t="n">
        <x:f>IF(F92=0,"",G92/F92)</x:f>
        <x:v>0</x:v>
      </x:c>
      <x:c r="I92" t="str">
        <x:v>No</x:v>
      </x:c>
      <x:c r="J92" t="str">
        <x:v>Complete el ingreso de respuestas y/o la corrección de P. de desarrollo</x:v>
      </x:c>
    </x:row>
    <x:row r="93">
      <x:c r="A93" t="str">
        <x:v>2° Ciclo</x:v>
      </x:c>
      <x:c r="B93" t="str">
        <x:v>6° Básico</x:v>
      </x:c>
      <x:c r="C93" t="str">
        <x:v>6°C</x:v>
      </x:c>
      <x:c r="D93" t="str">
        <x:v>Lectura</x:v>
      </x:c>
      <x:c r="E93" s="12" t="n">
        <x:v>42</x:v>
      </x:c>
      <x:c r="F93" s="12" t="n">
        <x:v>42</x:v>
      </x:c>
      <x:c r="G93" s="12" t="n">
        <x:v>38</x:v>
      </x:c>
      <x:c r="H93" s="14" t="n">
        <x:f>IF(F93=0,"",G93/F93)</x:f>
        <x:v>0.9047619047619048</x:v>
      </x:c>
      <x:c r="I93" t="str">
        <x:v>Sí</x:v>
      </x:c>
      <x:c r="J93" t="str">
        <x:v>Puede descargar el informe del curso en esta área</x:v>
      </x:c>
    </x:row>
    <x:row r="94">
      <x:c r="A94" t="str">
        <x:v>2° Ciclo</x:v>
      </x:c>
      <x:c r="B94" t="str">
        <x:v>6° Básico</x:v>
      </x:c>
      <x:c r="C94" t="str">
        <x:v>6°C</x:v>
      </x:c>
      <x:c r="D94" t="str">
        <x:v>Matemática</x:v>
      </x:c>
      <x:c r="E94" s="12" t="n">
        <x:v>42</x:v>
      </x:c>
      <x:c r="F94" s="12" t="n">
        <x:v>42</x:v>
      </x:c>
      <x:c r="G94" s="12" t="n">
        <x:v>31</x:v>
      </x:c>
      <x:c r="H94" s="14" t="n">
        <x:f>IF(F94=0,"",G94/F94)</x:f>
        <x:v>0.7380952380952381</x:v>
      </x:c>
      <x:c r="I94" t="str">
        <x:v>Sí</x:v>
      </x:c>
      <x:c r="J94" t="str">
        <x:v>Puede descargar el informe del curso en esta área</x:v>
      </x:c>
    </x:row>
    <x:row r="95">
      <x:c r="A95" t="str">
        <x:v>2° Ciclo</x:v>
      </x:c>
      <x:c r="B95" t="str">
        <x:v>6° Básico</x:v>
      </x:c>
      <x:c r="C95" t="str">
        <x:v>6°C</x:v>
      </x:c>
      <x:c r="D95" t="str">
        <x:v>Historia, Geografía y Ciencias Sociales</x:v>
      </x:c>
      <x:c r="E95" s="12" t="n">
        <x:v>42</x:v>
      </x:c>
      <x:c r="F95" s="12" t="n">
        <x:v>40</x:v>
      </x:c>
      <x:c r="G95" s="12" t="n">
        <x:v>32</x:v>
      </x:c>
      <x:c r="H95" s="14" t="n">
        <x:f>IF(F95=0,"",G95/F95)</x:f>
        <x:v>0.8</x:v>
      </x:c>
      <x:c r="I95" t="str">
        <x:v>Sí</x:v>
      </x:c>
      <x:c r="J95" t="str">
        <x:v>Puede descargar el informe del curso en esta área</x:v>
      </x:c>
    </x:row>
    <x:row r="96">
      <x:c r="A96" t="str">
        <x:v>2° Ciclo</x:v>
      </x:c>
      <x:c r="B96" t="str">
        <x:v>6° Básico</x:v>
      </x:c>
      <x:c r="C96" t="str">
        <x:v>6°C</x:v>
      </x:c>
      <x:c r="D96" t="str">
        <x:v>Ciencias Naturales</x:v>
      </x:c>
      <x:c r="E96" s="12" t="n">
        <x:v>42</x:v>
      </x:c>
      <x:c r="F96" s="12" t="n">
        <x:v>42</x:v>
      </x:c>
      <x:c r="G96" s="12" t="n">
        <x:v>30</x:v>
      </x:c>
      <x:c r="H96" s="14" t="n">
        <x:f>IF(F96=0,"",G96/F96)</x:f>
        <x:v>0.7142857142857143</x:v>
      </x:c>
      <x:c r="I96" t="str">
        <x:v>Sí</x:v>
      </x:c>
      <x:c r="J96" t="str">
        <x:v>Puede descargar el informe del curso en esta área</x:v>
      </x:c>
    </x:row>
    <x:row r="97">
      <x:c r="A97" t="str">
        <x:v>2° Ciclo</x:v>
      </x:c>
      <x:c r="B97" t="str">
        <x:v>6° Básico</x:v>
      </x:c>
      <x:c r="C97" t="str">
        <x:v>6°C</x:v>
      </x:c>
      <x:c r="D97" t="str">
        <x:v>Inglés (Listening, Reading, Writing)</x:v>
      </x:c>
      <x:c r="E97" s="12" t="n">
        <x:v>42</x:v>
      </x:c>
      <x:c r="F97" s="12" t="n">
        <x:v>40</x:v>
      </x:c>
      <x:c r="G97" s="12" t="n">
        <x:v>0</x:v>
      </x:c>
      <x:c r="H97" s="14" t="n">
        <x:f>IF(F97=0,"",G97/F97)</x:f>
        <x:v>0</x:v>
      </x:c>
      <x:c r="I97" t="str">
        <x:v>No</x:v>
      </x:c>
      <x:c r="J97" t="str">
        <x:v>Complete el ingreso de respuestas y/o la corrección de P. de desarrollo</x:v>
      </x:c>
    </x:row>
    <x:row r="98">
      <x:c r="A98" t="str">
        <x:v>2° Ciclo</x:v>
      </x:c>
      <x:c r="B98" t="str">
        <x:v>6° Básico</x:v>
      </x:c>
      <x:c r="C98" t="str">
        <x:v>6°D</x:v>
      </x:c>
      <x:c r="D98" t="str">
        <x:v>Lectura</x:v>
      </x:c>
      <x:c r="E98" s="12" t="n">
        <x:v>44</x:v>
      </x:c>
      <x:c r="F98" s="12" t="n">
        <x:v>44</x:v>
      </x:c>
      <x:c r="G98" s="12" t="n">
        <x:v>40</x:v>
      </x:c>
      <x:c r="H98" s="14" t="n">
        <x:f>IF(F98=0,"",G98/F98)</x:f>
        <x:v>0.9090909090909091</x:v>
      </x:c>
      <x:c r="I98" t="str">
        <x:v>Sí</x:v>
      </x:c>
      <x:c r="J98" t="str">
        <x:v>Puede descargar el informe del curso en esta área</x:v>
      </x:c>
    </x:row>
    <x:row r="99">
      <x:c r="A99" t="str">
        <x:v>2° Ciclo</x:v>
      </x:c>
      <x:c r="B99" t="str">
        <x:v>6° Básico</x:v>
      </x:c>
      <x:c r="C99" t="str">
        <x:v>6°D</x:v>
      </x:c>
      <x:c r="D99" t="str">
        <x:v>Matemática</x:v>
      </x:c>
      <x:c r="E99" s="12" t="n">
        <x:v>44</x:v>
      </x:c>
      <x:c r="F99" s="12" t="n">
        <x:v>44</x:v>
      </x:c>
      <x:c r="G99" s="12" t="n">
        <x:v>38</x:v>
      </x:c>
      <x:c r="H99" s="14" t="n">
        <x:f>IF(F99=0,"",G99/F99)</x:f>
        <x:v>0.8636363636363636</x:v>
      </x:c>
      <x:c r="I99" t="str">
        <x:v>Sí</x:v>
      </x:c>
      <x:c r="J99" t="str">
        <x:v>Puede descargar el informe del curso en esta área</x:v>
      </x:c>
    </x:row>
    <x:row r="100">
      <x:c r="A100" t="str">
        <x:v>2° Ciclo</x:v>
      </x:c>
      <x:c r="B100" t="str">
        <x:v>6° Básico</x:v>
      </x:c>
      <x:c r="C100" t="str">
        <x:v>6°D</x:v>
      </x:c>
      <x:c r="D100" t="str">
        <x:v>Historia, Geografía y Ciencias Sociales</x:v>
      </x:c>
      <x:c r="E100" s="12" t="n">
        <x:v>44</x:v>
      </x:c>
      <x:c r="F100" s="12" t="n">
        <x:v>44</x:v>
      </x:c>
      <x:c r="G100" s="12" t="n">
        <x:v>35</x:v>
      </x:c>
      <x:c r="H100" s="14" t="n">
        <x:f>IF(F100=0,"",G100/F100)</x:f>
        <x:v>0.7954545454545454</x:v>
      </x:c>
      <x:c r="I100" t="str">
        <x:v>Sí</x:v>
      </x:c>
      <x:c r="J100" t="str">
        <x:v>Puede descargar el informe del curso en esta área</x:v>
      </x:c>
    </x:row>
    <x:row r="101">
      <x:c r="A101" t="str">
        <x:v>2° Ciclo</x:v>
      </x:c>
      <x:c r="B101" t="str">
        <x:v>6° Básico</x:v>
      </x:c>
      <x:c r="C101" t="str">
        <x:v>6°D</x:v>
      </x:c>
      <x:c r="D101" t="str">
        <x:v>Ciencias Naturales</x:v>
      </x:c>
      <x:c r="E101" s="12" t="n">
        <x:v>44</x:v>
      </x:c>
      <x:c r="F101" s="12" t="n">
        <x:v>44</x:v>
      </x:c>
      <x:c r="G101" s="12" t="n">
        <x:v>33</x:v>
      </x:c>
      <x:c r="H101" s="14" t="n">
        <x:f>IF(F101=0,"",G101/F101)</x:f>
        <x:v>0.75</x:v>
      </x:c>
      <x:c r="I101" t="str">
        <x:v>Sí</x:v>
      </x:c>
      <x:c r="J101" t="str">
        <x:v>Puede descargar el informe del curso en esta área</x:v>
      </x:c>
    </x:row>
    <x:row r="102">
      <x:c r="A102" t="str">
        <x:v>2° Ciclo</x:v>
      </x:c>
      <x:c r="B102" t="str">
        <x:v>6° Básico</x:v>
      </x:c>
      <x:c r="C102" t="str">
        <x:v>6°D</x:v>
      </x:c>
      <x:c r="D102" t="str">
        <x:v>Inglés (Listening, Reading, Writing)</x:v>
      </x:c>
      <x:c r="E102" s="12" t="n">
        <x:v>44</x:v>
      </x:c>
      <x:c r="F102" s="12" t="n">
        <x:v>44</x:v>
      </x:c>
      <x:c r="G102" s="12" t="n">
        <x:v>0</x:v>
      </x:c>
      <x:c r="H102" s="14" t="n">
        <x:f>IF(F102=0,"",G102/F102)</x:f>
        <x:v>0</x:v>
      </x:c>
      <x:c r="I102" t="str">
        <x:v>No</x:v>
      </x:c>
      <x:c r="J102" t="str">
        <x:v>Complete el ingreso de respuestas y/o la corrección de P. de desarrollo</x:v>
      </x:c>
    </x:row>
    <x:row r="103">
      <x:c r="A103" t="str">
        <x:v>2° Ciclo</x:v>
      </x:c>
      <x:c r="B103" t="str">
        <x:v>6° Básico</x:v>
      </x:c>
      <x:c r="C103" t="str">
        <x:v>6°E</x:v>
      </x:c>
      <x:c r="D103" t="str">
        <x:v>Cuestionario Aprendizaje Socioemocional</x:v>
      </x:c>
      <x:c r="E103" s="12" t="n">
        <x:v>42</x:v>
      </x:c>
      <x:c r="F103" s="12" t="n">
        <x:v>40</x:v>
      </x:c>
      <x:c r="G103" s="12" t="n">
        <x:v>34</x:v>
      </x:c>
      <x:c r="H103" s="14" t="n">
        <x:f>IF(F103=0,"",G103/F103)</x:f>
        <x:v>0.85</x:v>
      </x:c>
      <x:c r="I103" t="str">
        <x:v>Sí</x:v>
      </x:c>
      <x:c r="J103" t="str">
        <x:v>Puede descargar el informe del curso en esta área</x:v>
      </x:c>
    </x:row>
    <x:row r="104">
      <x:c r="A104" t="str">
        <x:v>2° Ciclo</x:v>
      </x:c>
      <x:c r="B104" t="str">
        <x:v>6° Básico</x:v>
      </x:c>
      <x:c r="C104" t="str">
        <x:v>6°E</x:v>
      </x:c>
      <x:c r="D104" t="str">
        <x:v>Lectura</x:v>
      </x:c>
      <x:c r="E104" s="12" t="n">
        <x:v>42</x:v>
      </x:c>
      <x:c r="F104" s="12" t="n">
        <x:v>41</x:v>
      </x:c>
      <x:c r="G104" s="12" t="n">
        <x:v>38</x:v>
      </x:c>
      <x:c r="H104" s="14" t="n">
        <x:f>IF(F104=0,"",G104/F104)</x:f>
        <x:v>0.926829268292683</x:v>
      </x:c>
      <x:c r="I104" t="str">
        <x:v>Sí</x:v>
      </x:c>
      <x:c r="J104" t="str">
        <x:v>Puede descargar el informe del curso en esta área</x:v>
      </x:c>
    </x:row>
    <x:row r="105">
      <x:c r="A105" t="str">
        <x:v>2° Ciclo</x:v>
      </x:c>
      <x:c r="B105" t="str">
        <x:v>6° Básico</x:v>
      </x:c>
      <x:c r="C105" t="str">
        <x:v>6°E</x:v>
      </x:c>
      <x:c r="D105" t="str">
        <x:v>Matemática</x:v>
      </x:c>
      <x:c r="E105" s="12" t="n">
        <x:v>42</x:v>
      </x:c>
      <x:c r="F105" s="12" t="n">
        <x:v>40</x:v>
      </x:c>
      <x:c r="G105" s="12" t="n">
        <x:v>32</x:v>
      </x:c>
      <x:c r="H105" s="14" t="n">
        <x:f>IF(F105=0,"",G105/F105)</x:f>
        <x:v>0.8</x:v>
      </x:c>
      <x:c r="I105" t="str">
        <x:v>Sí</x:v>
      </x:c>
      <x:c r="J105" t="str">
        <x:v>Puede descargar el informe del curso en esta área</x:v>
      </x:c>
    </x:row>
    <x:row r="106">
      <x:c r="A106" t="str">
        <x:v>2° Ciclo</x:v>
      </x:c>
      <x:c r="B106" t="str">
        <x:v>6° Básico</x:v>
      </x:c>
      <x:c r="C106" t="str">
        <x:v>6°E</x:v>
      </x:c>
      <x:c r="D106" t="str">
        <x:v>Historia, Geografía y Ciencias Sociales</x:v>
      </x:c>
      <x:c r="E106" s="12" t="n">
        <x:v>42</x:v>
      </x:c>
      <x:c r="F106" s="12" t="n">
        <x:v>40</x:v>
      </x:c>
      <x:c r="G106" s="12" t="n">
        <x:v>31</x:v>
      </x:c>
      <x:c r="H106" s="14" t="n">
        <x:f>IF(F106=0,"",G106/F106)</x:f>
        <x:v>0.775</x:v>
      </x:c>
      <x:c r="I106" t="str">
        <x:v>Sí</x:v>
      </x:c>
      <x:c r="J106" t="str">
        <x:v>Puede descargar el informe del curso en esta área</x:v>
      </x:c>
    </x:row>
    <x:row r="107">
      <x:c r="A107" t="str">
        <x:v>2° Ciclo</x:v>
      </x:c>
      <x:c r="B107" t="str">
        <x:v>6° Básico</x:v>
      </x:c>
      <x:c r="C107" t="str">
        <x:v>6°E</x:v>
      </x:c>
      <x:c r="D107" t="str">
        <x:v>Ciencias Naturales</x:v>
      </x:c>
      <x:c r="E107" s="12" t="n">
        <x:v>42</x:v>
      </x:c>
      <x:c r="F107" s="12" t="n">
        <x:v>42</x:v>
      </x:c>
      <x:c r="G107" s="12" t="n">
        <x:v>34</x:v>
      </x:c>
      <x:c r="H107" s="14" t="n">
        <x:f>IF(F107=0,"",G107/F107)</x:f>
        <x:v>0.8095238095238095</x:v>
      </x:c>
      <x:c r="I107" t="str">
        <x:v>No</x:v>
      </x:c>
      <x:c r="J107" t="str">
        <x:v>Complete el ingreso de respuestas y/o la corrección de P. de desarrollo</x:v>
      </x:c>
    </x:row>
    <x:row r="108">
      <x:c r="A108" t="str">
        <x:v>2° Ciclo</x:v>
      </x:c>
      <x:c r="B108" t="str">
        <x:v>6° Básico</x:v>
      </x:c>
      <x:c r="C108" t="str">
        <x:v>6°E</x:v>
      </x:c>
      <x:c r="D108" t="str">
        <x:v>Inglés (Listening, Reading, Writing)</x:v>
      </x:c>
      <x:c r="E108" s="12" t="n">
        <x:v>42</x:v>
      </x:c>
      <x:c r="F108" s="12" t="n">
        <x:v>41</x:v>
      </x:c>
      <x:c r="G108" s="12" t="n">
        <x:v>38</x:v>
      </x:c>
      <x:c r="H108" s="14" t="n">
        <x:f>IF(F108=0,"",G108/F108)</x:f>
        <x:v>0.926829268292683</x:v>
      </x:c>
      <x:c r="I108" t="str">
        <x:v>Sí</x:v>
      </x:c>
      <x:c r="J108" t="str">
        <x:v>Puede descargar el informe del curso en esta área</x:v>
      </x:c>
    </x:row>
    <x:row r="109">
      <x:c r="A109" t="str">
        <x:v>2° Ciclo</x:v>
      </x:c>
      <x:c r="B109" t="str">
        <x:v>6° Básico</x:v>
      </x:c>
      <x:c r="C109" t="str">
        <x:v>6°E</x:v>
      </x:c>
      <x:c r="D109" t="str">
        <x:v>Inglés (Speaking)</x:v>
      </x:c>
      <x:c r="E109" s="12" t="n">
        <x:v>42</x:v>
      </x:c>
      <x:c r="F109" s="12" t="n">
        <x:v>42</x:v>
      </x:c>
      <x:c r="G109" s="12" t="n">
        <x:v>9</x:v>
      </x:c>
      <x:c r="H109" s="14" t="n">
        <x:f>IF(F109=0,"",G109/F109)</x:f>
        <x:v>0.21428571428571427</x:v>
      </x:c>
      <x:c r="I109" t="str">
        <x:v>Sí</x:v>
      </x:c>
      <x:c r="J109" t="str">
        <x:v>Puede descargar el informe del curso en esta área</x:v>
      </x:c>
    </x:row>
    <x:row r="110">
      <x:c r="A110" t="str">
        <x:v>2° Ciclo</x:v>
      </x:c>
      <x:c r="B110" t="str">
        <x:v>6° Básico</x:v>
      </x:c>
      <x:c r="C110" t="str">
        <x:v>6°F</x:v>
      </x:c>
      <x:c r="D110" t="str">
        <x:v>Cuestionario Aprendizaje Socioemocional</x:v>
      </x:c>
      <x:c r="E110" s="12" t="n">
        <x:v>40</x:v>
      </x:c>
      <x:c r="F110" s="12" t="n">
        <x:v>40</x:v>
      </x:c>
      <x:c r="G110" s="12" t="n">
        <x:v>34</x:v>
      </x:c>
      <x:c r="H110" s="14" t="n">
        <x:f>IF(F110=0,"",G110/F110)</x:f>
        <x:v>0.85</x:v>
      </x:c>
      <x:c r="I110" t="str">
        <x:v>Sí</x:v>
      </x:c>
      <x:c r="J110" t="str">
        <x:v>Puede descargar el informe del curso en esta área</x:v>
      </x:c>
    </x:row>
    <x:row r="111">
      <x:c r="A111" t="str">
        <x:v>2° Ciclo</x:v>
      </x:c>
      <x:c r="B111" t="str">
        <x:v>6° Básico</x:v>
      </x:c>
      <x:c r="C111" t="str">
        <x:v>6°F</x:v>
      </x:c>
      <x:c r="D111" t="str">
        <x:v>Lectura</x:v>
      </x:c>
      <x:c r="E111" s="12" t="n">
        <x:v>40</x:v>
      </x:c>
      <x:c r="F111" s="12" t="n">
        <x:v>40</x:v>
      </x:c>
      <x:c r="G111" s="12" t="n">
        <x:v>37</x:v>
      </x:c>
      <x:c r="H111" s="14" t="n">
        <x:f>IF(F111=0,"",G111/F111)</x:f>
        <x:v>0.925</x:v>
      </x:c>
      <x:c r="I111" t="str">
        <x:v>Sí</x:v>
      </x:c>
      <x:c r="J111" t="str">
        <x:v>Puede descargar el informe del curso en esta área</x:v>
      </x:c>
    </x:row>
    <x:row r="112">
      <x:c r="A112" t="str">
        <x:v>2° Ciclo</x:v>
      </x:c>
      <x:c r="B112" t="str">
        <x:v>6° Básico</x:v>
      </x:c>
      <x:c r="C112" t="str">
        <x:v>6°F</x:v>
      </x:c>
      <x:c r="D112" t="str">
        <x:v>Matemática</x:v>
      </x:c>
      <x:c r="E112" s="12" t="n">
        <x:v>40</x:v>
      </x:c>
      <x:c r="F112" s="12" t="n">
        <x:v>40</x:v>
      </x:c>
      <x:c r="G112" s="12" t="n">
        <x:v>38</x:v>
      </x:c>
      <x:c r="H112" s="14" t="n">
        <x:f>IF(F112=0,"",G112/F112)</x:f>
        <x:v>0.95</x:v>
      </x:c>
      <x:c r="I112" t="str">
        <x:v>Sí</x:v>
      </x:c>
      <x:c r="J112" t="str">
        <x:v>Puede descargar el informe del curso en esta área</x:v>
      </x:c>
    </x:row>
    <x:row r="113">
      <x:c r="A113" t="str">
        <x:v>2° Ciclo</x:v>
      </x:c>
      <x:c r="B113" t="str">
        <x:v>6° Básico</x:v>
      </x:c>
      <x:c r="C113" t="str">
        <x:v>6°F</x:v>
      </x:c>
      <x:c r="D113" t="str">
        <x:v>Historia, Geografía y Ciencias Sociales</x:v>
      </x:c>
      <x:c r="E113" s="12" t="n">
        <x:v>40</x:v>
      </x:c>
      <x:c r="F113" s="12" t="n">
        <x:v>40</x:v>
      </x:c>
      <x:c r="G113" s="12" t="n">
        <x:v>34</x:v>
      </x:c>
      <x:c r="H113" s="14" t="n">
        <x:f>IF(F113=0,"",G113/F113)</x:f>
        <x:v>0.85</x:v>
      </x:c>
      <x:c r="I113" t="str">
        <x:v>Sí</x:v>
      </x:c>
      <x:c r="J113" t="str">
        <x:v>Puede descargar el informe del curso en esta área</x:v>
      </x:c>
    </x:row>
    <x:row r="114">
      <x:c r="A114" t="str">
        <x:v>2° Ciclo</x:v>
      </x:c>
      <x:c r="B114" t="str">
        <x:v>6° Básico</x:v>
      </x:c>
      <x:c r="C114" t="str">
        <x:v>6°F</x:v>
      </x:c>
      <x:c r="D114" t="str">
        <x:v>Ciencias Naturales</x:v>
      </x:c>
      <x:c r="E114" s="12" t="n">
        <x:v>40</x:v>
      </x:c>
      <x:c r="F114" s="12" t="n">
        <x:v>40</x:v>
      </x:c>
      <x:c r="G114" s="12" t="n">
        <x:v>35</x:v>
      </x:c>
      <x:c r="H114" s="14" t="n">
        <x:f>IF(F114=0,"",G114/F114)</x:f>
        <x:v>0.875</x:v>
      </x:c>
      <x:c r="I114" t="str">
        <x:v>No</x:v>
      </x:c>
      <x:c r="J114" t="str">
        <x:v>Complete el ingreso de respuestas y/o la corrección de P. de desarrollo</x:v>
      </x:c>
    </x:row>
    <x:row r="115">
      <x:c r="A115" t="str">
        <x:v>2° Ciclo</x:v>
      </x:c>
      <x:c r="B115" t="str">
        <x:v>6° Básico</x:v>
      </x:c>
      <x:c r="C115" t="str">
        <x:v>6°F</x:v>
      </x:c>
      <x:c r="D115" t="str">
        <x:v>Inglés (Listening, Reading, Writing)</x:v>
      </x:c>
      <x:c r="E115" s="12" t="n">
        <x:v>40</x:v>
      </x:c>
      <x:c r="F115" s="12" t="n">
        <x:v>40</x:v>
      </x:c>
      <x:c r="G115" s="12" t="n">
        <x:v>33</x:v>
      </x:c>
      <x:c r="H115" s="14" t="n">
        <x:f>IF(F115=0,"",G115/F115)</x:f>
        <x:v>0.825</x:v>
      </x:c>
      <x:c r="I115" t="str">
        <x:v>Sí</x:v>
      </x:c>
      <x:c r="J115" t="str">
        <x:v>Puede descargar el informe del curso en esta área</x:v>
      </x:c>
    </x:row>
    <x:row r="116">
      <x:c r="A116" t="str">
        <x:v>2° Ciclo</x:v>
      </x:c>
      <x:c r="B116" t="str">
        <x:v>6° Básico</x:v>
      </x:c>
      <x:c r="C116" t="str">
        <x:v>6°F</x:v>
      </x:c>
      <x:c r="D116" t="str">
        <x:v>Inglés (Speaking)</x:v>
      </x:c>
      <x:c r="E116" s="12" t="n">
        <x:v>40</x:v>
      </x:c>
      <x:c r="F116" s="12" t="n">
        <x:v>40</x:v>
      </x:c>
      <x:c r="G116" s="12" t="n">
        <x:v>18</x:v>
      </x:c>
      <x:c r="H116" s="14" t="n">
        <x:f>IF(F116=0,"",G116/F116)</x:f>
        <x:v>0.45</x:v>
      </x:c>
      <x:c r="I116" t="str">
        <x:v>Sí</x:v>
      </x:c>
      <x:c r="J116" t="str">
        <x:v>Puede descargar el informe del curso en esta área</x:v>
      </x:c>
    </x:row>
    <x:row r="117">
      <x:c r="A117" t="str">
        <x:v>2° Ciclo</x:v>
      </x:c>
      <x:c r="B117" t="str">
        <x:v>6° Básico</x:v>
      </x:c>
      <x:c r="C117" t="str">
        <x:v>6°G</x:v>
      </x:c>
      <x:c r="D117" t="str">
        <x:v>Cuestionario Aprendizaje Socioemocional</x:v>
      </x:c>
      <x:c r="E117" s="12" t="n">
        <x:v>37</x:v>
      </x:c>
      <x:c r="F117" s="12" t="n">
        <x:v>37</x:v>
      </x:c>
      <x:c r="G117" s="12" t="n">
        <x:v>33</x:v>
      </x:c>
      <x:c r="H117" s="14" t="n">
        <x:f>IF(F117=0,"",G117/F117)</x:f>
        <x:v>0.8918918918918919</x:v>
      </x:c>
      <x:c r="I117" t="str">
        <x:v>Sí</x:v>
      </x:c>
      <x:c r="J117" t="str">
        <x:v>Puede descargar el informe del curso en esta área</x:v>
      </x:c>
    </x:row>
    <x:row r="118">
      <x:c r="A118" t="str">
        <x:v>2° Ciclo</x:v>
      </x:c>
      <x:c r="B118" t="str">
        <x:v>6° Básico</x:v>
      </x:c>
      <x:c r="C118" t="str">
        <x:v>6°G</x:v>
      </x:c>
      <x:c r="D118" t="str">
        <x:v>Lectura</x:v>
      </x:c>
      <x:c r="E118" s="12" t="n">
        <x:v>37</x:v>
      </x:c>
      <x:c r="F118" s="12" t="n">
        <x:v>37</x:v>
      </x:c>
      <x:c r="G118" s="12" t="n">
        <x:v>32</x:v>
      </x:c>
      <x:c r="H118" s="14" t="n">
        <x:f>IF(F118=0,"",G118/F118)</x:f>
        <x:v>0.8648648648648649</x:v>
      </x:c>
      <x:c r="I118" t="str">
        <x:v>Sí</x:v>
      </x:c>
      <x:c r="J118" t="str">
        <x:v>Puede descargar el informe del curso en esta área</x:v>
      </x:c>
    </x:row>
    <x:row r="119">
      <x:c r="A119" t="str">
        <x:v>2° Ciclo</x:v>
      </x:c>
      <x:c r="B119" t="str">
        <x:v>6° Básico</x:v>
      </x:c>
      <x:c r="C119" t="str">
        <x:v>6°G</x:v>
      </x:c>
      <x:c r="D119" t="str">
        <x:v>Matemática</x:v>
      </x:c>
      <x:c r="E119" s="12" t="n">
        <x:v>37</x:v>
      </x:c>
      <x:c r="F119" s="12" t="n">
        <x:v>37</x:v>
      </x:c>
      <x:c r="G119" s="12" t="n">
        <x:v>34</x:v>
      </x:c>
      <x:c r="H119" s="14" t="n">
        <x:f>IF(F119=0,"",G119/F119)</x:f>
        <x:v>0.918918918918919</x:v>
      </x:c>
      <x:c r="I119" t="str">
        <x:v>Sí</x:v>
      </x:c>
      <x:c r="J119" t="str">
        <x:v>Puede descargar el informe del curso en esta área</x:v>
      </x:c>
    </x:row>
    <x:row r="120">
      <x:c r="A120" t="str">
        <x:v>2° Ciclo</x:v>
      </x:c>
      <x:c r="B120" t="str">
        <x:v>6° Básico</x:v>
      </x:c>
      <x:c r="C120" t="str">
        <x:v>6°G</x:v>
      </x:c>
      <x:c r="D120" t="str">
        <x:v>Historia, Geografía y Ciencias Sociales</x:v>
      </x:c>
      <x:c r="E120" s="12" t="n">
        <x:v>37</x:v>
      </x:c>
      <x:c r="F120" s="12" t="n">
        <x:v>37</x:v>
      </x:c>
      <x:c r="G120" s="12" t="n">
        <x:v>35</x:v>
      </x:c>
      <x:c r="H120" s="14" t="n">
        <x:f>IF(F120=0,"",G120/F120)</x:f>
        <x:v>0.9459459459459459</x:v>
      </x:c>
      <x:c r="I120" t="str">
        <x:v>Sí</x:v>
      </x:c>
      <x:c r="J120" t="str">
        <x:v>Puede descargar el informe del curso en esta área</x:v>
      </x:c>
    </x:row>
    <x:row r="121">
      <x:c r="A121" t="str">
        <x:v>2° Ciclo</x:v>
      </x:c>
      <x:c r="B121" t="str">
        <x:v>6° Básico</x:v>
      </x:c>
      <x:c r="C121" t="str">
        <x:v>6°G</x:v>
      </x:c>
      <x:c r="D121" t="str">
        <x:v>Ciencias Naturales</x:v>
      </x:c>
      <x:c r="E121" s="12" t="n">
        <x:v>37</x:v>
      </x:c>
      <x:c r="F121" s="12" t="n">
        <x:v>37</x:v>
      </x:c>
      <x:c r="G121" s="12" t="n">
        <x:v>34</x:v>
      </x:c>
      <x:c r="H121" s="14" t="n">
        <x:f>IF(F121=0,"",G121/F121)</x:f>
        <x:v>0.918918918918919</x:v>
      </x:c>
      <x:c r="I121" t="str">
        <x:v>No</x:v>
      </x:c>
      <x:c r="J121" t="str">
        <x:v>Complete el ingreso de respuestas y/o la corrección de P. de desarrollo</x:v>
      </x:c>
    </x:row>
    <x:row r="122">
      <x:c r="A122" t="str">
        <x:v>2° Ciclo</x:v>
      </x:c>
      <x:c r="B122" t="str">
        <x:v>6° Básico</x:v>
      </x:c>
      <x:c r="C122" t="str">
        <x:v>6°G</x:v>
      </x:c>
      <x:c r="D122" t="str">
        <x:v>Inglés (Listening, Reading, Writing)</x:v>
      </x:c>
      <x:c r="E122" s="12" t="n">
        <x:v>37</x:v>
      </x:c>
      <x:c r="F122" s="12" t="n">
        <x:v>37</x:v>
      </x:c>
      <x:c r="G122" s="12" t="n">
        <x:v>35</x:v>
      </x:c>
      <x:c r="H122" s="14" t="n">
        <x:f>IF(F122=0,"",G122/F122)</x:f>
        <x:v>0.9459459459459459</x:v>
      </x:c>
      <x:c r="I122" t="str">
        <x:v>Sí</x:v>
      </x:c>
      <x:c r="J122" t="str">
        <x:v>Puede descargar el informe del curso en esta área</x:v>
      </x:c>
    </x:row>
    <x:row r="123">
      <x:c r="A123" t="str">
        <x:v>2° Ciclo</x:v>
      </x:c>
      <x:c r="B123" t="str">
        <x:v>6° Básico</x:v>
      </x:c>
      <x:c r="C123" t="str">
        <x:v>6°G</x:v>
      </x:c>
      <x:c r="D123" t="str">
        <x:v>Inglés (Speaking)</x:v>
      </x:c>
      <x:c r="E123" s="12" t="n">
        <x:v>37</x:v>
      </x:c>
      <x:c r="F123" s="12" t="n">
        <x:v>37</x:v>
      </x:c>
      <x:c r="G123" s="12" t="n">
        <x:v>25</x:v>
      </x:c>
      <x:c r="H123" s="14" t="n">
        <x:f>IF(F123=0,"",G123/F123)</x:f>
        <x:v>0.6756756756756757</x:v>
      </x:c>
      <x:c r="I123" t="str">
        <x:v>Sí</x:v>
      </x:c>
      <x:c r="J123" t="str">
        <x:v>Puede descargar el informe del curso en esta área</x:v>
      </x:c>
    </x:row>
    <x:row r="124">
      <x:c r="A124" t="str">
        <x:v>2° Ciclo</x:v>
      </x:c>
      <x:c r="B124" t="str">
        <x:v>7° Básico</x:v>
      </x:c>
      <x:c r="C124" t="str">
        <x:v>7°A</x:v>
      </x:c>
      <x:c r="D124" t="str">
        <x:v>Lectura</x:v>
      </x:c>
      <x:c r="E124" s="12" t="n">
        <x:v>40</x:v>
      </x:c>
      <x:c r="F124" s="12" t="n">
        <x:v>38</x:v>
      </x:c>
      <x:c r="G124" s="12" t="n">
        <x:v>32</x:v>
      </x:c>
      <x:c r="H124" s="14" t="n">
        <x:f>IF(F124=0,"",G124/F124)</x:f>
        <x:v>0.8421052631578947</x:v>
      </x:c>
      <x:c r="I124" t="str">
        <x:v>Sí</x:v>
      </x:c>
      <x:c r="J124" t="str">
        <x:v>Puede descargar el informe del curso en esta área</x:v>
      </x:c>
    </x:row>
    <x:row r="125">
      <x:c r="A125" t="str">
        <x:v>2° Ciclo</x:v>
      </x:c>
      <x:c r="B125" t="str">
        <x:v>7° Básico</x:v>
      </x:c>
      <x:c r="C125" t="str">
        <x:v>7°A</x:v>
      </x:c>
      <x:c r="D125" t="str">
        <x:v>Matemática</x:v>
      </x:c>
      <x:c r="E125" s="12" t="n">
        <x:v>40</x:v>
      </x:c>
      <x:c r="F125" s="12" t="n">
        <x:v>38</x:v>
      </x:c>
      <x:c r="G125" s="12" t="n">
        <x:v>29</x:v>
      </x:c>
      <x:c r="H125" s="14" t="n">
        <x:f>IF(F125=0,"",G125/F125)</x:f>
        <x:v>0.7631578947368421</x:v>
      </x:c>
      <x:c r="I125" t="str">
        <x:v>Sí</x:v>
      </x:c>
      <x:c r="J125" t="str">
        <x:v>Puede descargar el informe del curso en esta área</x:v>
      </x:c>
    </x:row>
    <x:row r="126">
      <x:c r="A126" t="str">
        <x:v>2° Ciclo</x:v>
      </x:c>
      <x:c r="B126" t="str">
        <x:v>7° Básico</x:v>
      </x:c>
      <x:c r="C126" t="str">
        <x:v>7°A</x:v>
      </x:c>
      <x:c r="D126" t="str">
        <x:v>Historia, Geografía y Ciencias Sociales</x:v>
      </x:c>
      <x:c r="E126" s="12" t="n">
        <x:v>40</x:v>
      </x:c>
      <x:c r="F126" s="12" t="n">
        <x:v>38</x:v>
      </x:c>
      <x:c r="G126" s="12" t="n">
        <x:v>29</x:v>
      </x:c>
      <x:c r="H126" s="14" t="n">
        <x:f>IF(F126=0,"",G126/F126)</x:f>
        <x:v>0.7631578947368421</x:v>
      </x:c>
      <x:c r="I126" t="str">
        <x:v>Sí</x:v>
      </x:c>
      <x:c r="J126" t="str">
        <x:v>Puede descargar el informe del curso en esta área</x:v>
      </x:c>
    </x:row>
    <x:row r="127">
      <x:c r="A127" t="str">
        <x:v>2° Ciclo</x:v>
      </x:c>
      <x:c r="B127" t="str">
        <x:v>7° Básico</x:v>
      </x:c>
      <x:c r="C127" t="str">
        <x:v>7°A</x:v>
      </x:c>
      <x:c r="D127" t="str">
        <x:v>Ciencias Naturales</x:v>
      </x:c>
      <x:c r="E127" s="12" t="n">
        <x:v>40</x:v>
      </x:c>
      <x:c r="F127" s="12" t="n">
        <x:v>40</x:v>
      </x:c>
      <x:c r="G127" s="12" t="n">
        <x:v>34</x:v>
      </x:c>
      <x:c r="H127" s="14" t="n">
        <x:f>IF(F127=0,"",G127/F127)</x:f>
        <x:v>0.85</x:v>
      </x:c>
      <x:c r="I127" t="str">
        <x:v>Sí</x:v>
      </x:c>
      <x:c r="J127" t="str">
        <x:v>Puede descargar el informe del curso en esta área</x:v>
      </x:c>
    </x:row>
    <x:row r="128">
      <x:c r="A128" t="str">
        <x:v>2° Ciclo</x:v>
      </x:c>
      <x:c r="B128" t="str">
        <x:v>7° Básico</x:v>
      </x:c>
      <x:c r="C128" t="str">
        <x:v>7°B</x:v>
      </x:c>
      <x:c r="D128" t="str">
        <x:v>Lectura</x:v>
      </x:c>
      <x:c r="E128" s="12" t="n">
        <x:v>40</x:v>
      </x:c>
      <x:c r="F128" s="12" t="n">
        <x:v>38</x:v>
      </x:c>
      <x:c r="G128" s="12" t="n">
        <x:v>32</x:v>
      </x:c>
      <x:c r="H128" s="14" t="n">
        <x:f>IF(F128=0,"",G128/F128)</x:f>
        <x:v>0.8421052631578947</x:v>
      </x:c>
      <x:c r="I128" t="str">
        <x:v>Sí</x:v>
      </x:c>
      <x:c r="J128" t="str">
        <x:v>Puede descargar el informe del curso en esta área</x:v>
      </x:c>
    </x:row>
    <x:row r="129">
      <x:c r="A129" t="str">
        <x:v>2° Ciclo</x:v>
      </x:c>
      <x:c r="B129" t="str">
        <x:v>7° Básico</x:v>
      </x:c>
      <x:c r="C129" t="str">
        <x:v>7°B</x:v>
      </x:c>
      <x:c r="D129" t="str">
        <x:v>Matemática</x:v>
      </x:c>
      <x:c r="E129" s="12" t="n">
        <x:v>40</x:v>
      </x:c>
      <x:c r="F129" s="12" t="n">
        <x:v>40</x:v>
      </x:c>
      <x:c r="G129" s="12" t="n">
        <x:v>31</x:v>
      </x:c>
      <x:c r="H129" s="14" t="n">
        <x:f>IF(F129=0,"",G129/F129)</x:f>
        <x:v>0.775</x:v>
      </x:c>
      <x:c r="I129" t="str">
        <x:v>Sí</x:v>
      </x:c>
      <x:c r="J129" t="str">
        <x:v>Puede descargar el informe del curso en esta área</x:v>
      </x:c>
    </x:row>
    <x:row r="130">
      <x:c r="A130" t="str">
        <x:v>2° Ciclo</x:v>
      </x:c>
      <x:c r="B130" t="str">
        <x:v>7° Básico</x:v>
      </x:c>
      <x:c r="C130" t="str">
        <x:v>7°B</x:v>
      </x:c>
      <x:c r="D130" t="str">
        <x:v>Historia, Geografía y Ciencias Sociales</x:v>
      </x:c>
      <x:c r="E130" s="12" t="n">
        <x:v>40</x:v>
      </x:c>
      <x:c r="F130" s="12" t="n">
        <x:v>38</x:v>
      </x:c>
      <x:c r="G130" s="12" t="n">
        <x:v>31</x:v>
      </x:c>
      <x:c r="H130" s="14" t="n">
        <x:f>IF(F130=0,"",G130/F130)</x:f>
        <x:v>0.8157894736842105</x:v>
      </x:c>
      <x:c r="I130" t="str">
        <x:v>Sí</x:v>
      </x:c>
      <x:c r="J130" t="str">
        <x:v>Puede descargar el informe del curso en esta área</x:v>
      </x:c>
    </x:row>
    <x:row r="131">
      <x:c r="A131" t="str">
        <x:v>2° Ciclo</x:v>
      </x:c>
      <x:c r="B131" t="str">
        <x:v>7° Básico</x:v>
      </x:c>
      <x:c r="C131" t="str">
        <x:v>7°B</x:v>
      </x:c>
      <x:c r="D131" t="str">
        <x:v>Ciencias Naturales</x:v>
      </x:c>
      <x:c r="E131" s="12" t="n">
        <x:v>40</x:v>
      </x:c>
      <x:c r="F131" s="12" t="n">
        <x:v>40</x:v>
      </x:c>
      <x:c r="G131" s="12" t="n">
        <x:v>30</x:v>
      </x:c>
      <x:c r="H131" s="14" t="n">
        <x:f>IF(F131=0,"",G131/F131)</x:f>
        <x:v>0.75</x:v>
      </x:c>
      <x:c r="I131" t="str">
        <x:v>Sí</x:v>
      </x:c>
      <x:c r="J131" t="str">
        <x:v>Puede descargar el informe del curso en esta área</x:v>
      </x:c>
    </x:row>
    <x:row r="132">
      <x:c r="A132" t="str">
        <x:v>2° Ciclo</x:v>
      </x:c>
      <x:c r="B132" t="str">
        <x:v>7° Básico</x:v>
      </x:c>
      <x:c r="C132" t="str">
        <x:v>7°C</x:v>
      </x:c>
      <x:c r="D132" t="str">
        <x:v>Lectura</x:v>
      </x:c>
      <x:c r="E132" s="12" t="n">
        <x:v>39</x:v>
      </x:c>
      <x:c r="F132" s="12" t="n">
        <x:v>39</x:v>
      </x:c>
      <x:c r="G132" s="12" t="n">
        <x:v>32</x:v>
      </x:c>
      <x:c r="H132" s="14" t="n">
        <x:f>IF(F132=0,"",G132/F132)</x:f>
        <x:v>0.8205128205128205</x:v>
      </x:c>
      <x:c r="I132" t="str">
        <x:v>Sí</x:v>
      </x:c>
      <x:c r="J132" t="str">
        <x:v>Puede descargar el informe del curso en esta área</x:v>
      </x:c>
    </x:row>
    <x:row r="133">
      <x:c r="A133" t="str">
        <x:v>2° Ciclo</x:v>
      </x:c>
      <x:c r="B133" t="str">
        <x:v>7° Básico</x:v>
      </x:c>
      <x:c r="C133" t="str">
        <x:v>7°C</x:v>
      </x:c>
      <x:c r="D133" t="str">
        <x:v>Matemática</x:v>
      </x:c>
      <x:c r="E133" s="12" t="n">
        <x:v>39</x:v>
      </x:c>
      <x:c r="F133" s="12" t="n">
        <x:v>39</x:v>
      </x:c>
      <x:c r="G133" s="12" t="n">
        <x:v>0</x:v>
      </x:c>
      <x:c r="H133" s="14" t="n">
        <x:f>IF(F133=0,"",G133/F133)</x:f>
        <x:v>0</x:v>
      </x:c>
      <x:c r="I133" t="str">
        <x:v>No</x:v>
      </x:c>
      <x:c r="J133" t="str">
        <x:v>Complete el ingreso de respuestas y/o la corrección de P. de desarrollo</x:v>
      </x:c>
    </x:row>
    <x:row r="134">
      <x:c r="A134" t="str">
        <x:v>2° Ciclo</x:v>
      </x:c>
      <x:c r="B134" t="str">
        <x:v>7° Básico</x:v>
      </x:c>
      <x:c r="C134" t="str">
        <x:v>7°C</x:v>
      </x:c>
      <x:c r="D134" t="str">
        <x:v>Historia, Geografía y Ciencias Sociales</x:v>
      </x:c>
      <x:c r="E134" s="12" t="n">
        <x:v>39</x:v>
      </x:c>
      <x:c r="F134" s="12" t="n">
        <x:v>39</x:v>
      </x:c>
      <x:c r="G134" s="12" t="n">
        <x:v>34</x:v>
      </x:c>
      <x:c r="H134" s="14" t="n">
        <x:f>IF(F134=0,"",G134/F134)</x:f>
        <x:v>0.8717948717948718</x:v>
      </x:c>
      <x:c r="I134" t="str">
        <x:v>Sí</x:v>
      </x:c>
      <x:c r="J134" t="str">
        <x:v>Puede descargar el informe del curso en esta área</x:v>
      </x:c>
    </x:row>
    <x:row r="135">
      <x:c r="A135" t="str">
        <x:v>2° Ciclo</x:v>
      </x:c>
      <x:c r="B135" t="str">
        <x:v>7° Básico</x:v>
      </x:c>
      <x:c r="C135" t="str">
        <x:v>7°C</x:v>
      </x:c>
      <x:c r="D135" t="str">
        <x:v>Ciencias Naturales</x:v>
      </x:c>
      <x:c r="E135" s="12" t="n">
        <x:v>39</x:v>
      </x:c>
      <x:c r="F135" s="12" t="n">
        <x:v>39</x:v>
      </x:c>
      <x:c r="G135" s="12" t="n">
        <x:v>29</x:v>
      </x:c>
      <x:c r="H135" s="14" t="n">
        <x:f>IF(F135=0,"",G135/F135)</x:f>
        <x:v>0.7435897435897436</x:v>
      </x:c>
      <x:c r="I135" t="str">
        <x:v>Sí</x:v>
      </x:c>
      <x:c r="J135" t="str">
        <x:v>Puede descargar el informe del curso en esta área</x:v>
      </x:c>
    </x:row>
    <x:row r="136">
      <x:c r="A136" t="str">
        <x:v>2° Ciclo</x:v>
      </x:c>
      <x:c r="B136" t="str">
        <x:v>7° Básico</x:v>
      </x:c>
      <x:c r="C136" t="str">
        <x:v>7°D</x:v>
      </x:c>
      <x:c r="D136" t="str">
        <x:v>Lectura</x:v>
      </x:c>
      <x:c r="E136" s="12" t="n">
        <x:v>44</x:v>
      </x:c>
      <x:c r="F136" s="12" t="n">
        <x:v>44</x:v>
      </x:c>
      <x:c r="G136" s="12" t="n">
        <x:v>31</x:v>
      </x:c>
      <x:c r="H136" s="14" t="n">
        <x:f>IF(F136=0,"",G136/F136)</x:f>
        <x:v>0.7045454545454546</x:v>
      </x:c>
      <x:c r="I136" t="str">
        <x:v>Sí</x:v>
      </x:c>
      <x:c r="J136" t="str">
        <x:v>Puede descargar el informe del curso en esta área</x:v>
      </x:c>
    </x:row>
    <x:row r="137">
      <x:c r="A137" t="str">
        <x:v>2° Ciclo</x:v>
      </x:c>
      <x:c r="B137" t="str">
        <x:v>7° Básico</x:v>
      </x:c>
      <x:c r="C137" t="str">
        <x:v>7°D</x:v>
      </x:c>
      <x:c r="D137" t="str">
        <x:v>Matemática</x:v>
      </x:c>
      <x:c r="E137" s="12" t="n">
        <x:v>44</x:v>
      </x:c>
      <x:c r="F137" s="12" t="n">
        <x:v>44</x:v>
      </x:c>
      <x:c r="G137" s="12" t="n">
        <x:v>0</x:v>
      </x:c>
      <x:c r="H137" s="14" t="n">
        <x:f>IF(F137=0,"",G137/F137)</x:f>
        <x:v>0</x:v>
      </x:c>
      <x:c r="I137" t="str">
        <x:v>No</x:v>
      </x:c>
      <x:c r="J137" t="str">
        <x:v>Complete el ingreso de respuestas y/o la corrección de P. de desarrollo</x:v>
      </x:c>
    </x:row>
    <x:row r="138">
      <x:c r="A138" t="str">
        <x:v>2° Ciclo</x:v>
      </x:c>
      <x:c r="B138" t="str">
        <x:v>7° Básico</x:v>
      </x:c>
      <x:c r="C138" t="str">
        <x:v>7°D</x:v>
      </x:c>
      <x:c r="D138" t="str">
        <x:v>Historia, Geografía y Ciencias Sociales</x:v>
      </x:c>
      <x:c r="E138" s="12" t="n">
        <x:v>44</x:v>
      </x:c>
      <x:c r="F138" s="12" t="n">
        <x:v>44</x:v>
      </x:c>
      <x:c r="G138" s="12" t="n">
        <x:v>34</x:v>
      </x:c>
      <x:c r="H138" s="14" t="n">
        <x:f>IF(F138=0,"",G138/F138)</x:f>
        <x:v>0.7727272727272727</x:v>
      </x:c>
      <x:c r="I138" t="str">
        <x:v>Sí</x:v>
      </x:c>
      <x:c r="J138" t="str">
        <x:v>Puede descargar el informe del curso en esta área</x:v>
      </x:c>
    </x:row>
    <x:row r="139">
      <x:c r="A139" t="str">
        <x:v>2° Ciclo</x:v>
      </x:c>
      <x:c r="B139" t="str">
        <x:v>7° Básico</x:v>
      </x:c>
      <x:c r="C139" t="str">
        <x:v>7°D</x:v>
      </x:c>
      <x:c r="D139" t="str">
        <x:v>Ciencias Naturales</x:v>
      </x:c>
      <x:c r="E139" s="12" t="n">
        <x:v>44</x:v>
      </x:c>
      <x:c r="F139" s="12" t="n">
        <x:v>44</x:v>
      </x:c>
      <x:c r="G139" s="12" t="n">
        <x:v>31</x:v>
      </x:c>
      <x:c r="H139" s="14" t="n">
        <x:f>IF(F139=0,"",G139/F139)</x:f>
        <x:v>0.7045454545454546</x:v>
      </x:c>
      <x:c r="I139" t="str">
        <x:v>Sí</x:v>
      </x:c>
      <x:c r="J139" t="str">
        <x:v>Puede descargar el informe del curso en esta área</x:v>
      </x:c>
    </x:row>
    <x:row r="140">
      <x:c r="A140" t="str">
        <x:v>2° Ciclo</x:v>
      </x:c>
      <x:c r="B140" t="str">
        <x:v>7° Básico</x:v>
      </x:c>
      <x:c r="C140" t="str">
        <x:v>7°E</x:v>
      </x:c>
      <x:c r="D140" t="str">
        <x:v>Cuestionario Aprendizaje Socioemocional</x:v>
      </x:c>
      <x:c r="E140" s="12" t="n">
        <x:v>47</x:v>
      </x:c>
      <x:c r="F140" s="12" t="n">
        <x:v>47</x:v>
      </x:c>
      <x:c r="G140" s="12" t="n">
        <x:v>40</x:v>
      </x:c>
      <x:c r="H140" s="14" t="n">
        <x:f>IF(F140=0,"",G140/F140)</x:f>
        <x:v>0.851063829787234</x:v>
      </x:c>
      <x:c r="I140" t="str">
        <x:v>Sí</x:v>
      </x:c>
      <x:c r="J140" t="str">
        <x:v>Puede descargar el informe del curso en esta área</x:v>
      </x:c>
    </x:row>
    <x:row r="141">
      <x:c r="A141" t="str">
        <x:v>2° Ciclo</x:v>
      </x:c>
      <x:c r="B141" t="str">
        <x:v>7° Básico</x:v>
      </x:c>
      <x:c r="C141" t="str">
        <x:v>7°E</x:v>
      </x:c>
      <x:c r="D141" t="str">
        <x:v>Lectura</x:v>
      </x:c>
      <x:c r="E141" s="12" t="n">
        <x:v>47</x:v>
      </x:c>
      <x:c r="F141" s="12" t="n">
        <x:v>47</x:v>
      </x:c>
      <x:c r="G141" s="12" t="n">
        <x:v>25</x:v>
      </x:c>
      <x:c r="H141" s="14" t="n">
        <x:f>IF(F141=0,"",G141/F141)</x:f>
        <x:v>0.5319148936170213</x:v>
      </x:c>
      <x:c r="I141" t="str">
        <x:v>No</x:v>
      </x:c>
      <x:c r="J141" t="str">
        <x:v>Complete el ingreso de respuestas y/o la corrección de P. de desarrollo</x:v>
      </x:c>
    </x:row>
    <x:row r="142">
      <x:c r="A142" t="str">
        <x:v>2° Ciclo</x:v>
      </x:c>
      <x:c r="B142" t="str">
        <x:v>7° Básico</x:v>
      </x:c>
      <x:c r="C142" t="str">
        <x:v>7°E</x:v>
      </x:c>
      <x:c r="D142" t="str">
        <x:v>Matemática</x:v>
      </x:c>
      <x:c r="E142" s="12" t="n">
        <x:v>47</x:v>
      </x:c>
      <x:c r="F142" s="12" t="n">
        <x:v>47</x:v>
      </x:c>
      <x:c r="G142" s="12" t="n">
        <x:v>31</x:v>
      </x:c>
      <x:c r="H142" s="14" t="n">
        <x:f>IF(F142=0,"",G142/F142)</x:f>
        <x:v>0.6595744680851063</x:v>
      </x:c>
      <x:c r="I142" t="str">
        <x:v>No</x:v>
      </x:c>
      <x:c r="J142" t="str">
        <x:v>Complete el ingreso de respuestas y/o la corrección de P. de desarrollo</x:v>
      </x:c>
    </x:row>
    <x:row r="143">
      <x:c r="A143" t="str">
        <x:v>2° Ciclo</x:v>
      </x:c>
      <x:c r="B143" t="str">
        <x:v>7° Básico</x:v>
      </x:c>
      <x:c r="C143" t="str">
        <x:v>7°E</x:v>
      </x:c>
      <x:c r="D143" t="str">
        <x:v>Historia, Geografía y Ciencias Sociales</x:v>
      </x:c>
      <x:c r="E143" s="12" t="n">
        <x:v>47</x:v>
      </x:c>
      <x:c r="F143" s="12" t="n">
        <x:v>47</x:v>
      </x:c>
      <x:c r="G143" s="12" t="n">
        <x:v>35</x:v>
      </x:c>
      <x:c r="H143" s="14" t="n">
        <x:f>IF(F143=0,"",G143/F143)</x:f>
        <x:v>0.7446808510638298</x:v>
      </x:c>
      <x:c r="I143" t="str">
        <x:v>No</x:v>
      </x:c>
      <x:c r="J143" t="str">
        <x:v>Complete el ingreso de respuestas y/o la corrección de P. de desarrollo</x:v>
      </x:c>
    </x:row>
    <x:row r="144">
      <x:c r="A144" t="str">
        <x:v>2° Ciclo</x:v>
      </x:c>
      <x:c r="B144" t="str">
        <x:v>7° Básico</x:v>
      </x:c>
      <x:c r="C144" t="str">
        <x:v>7°E</x:v>
      </x:c>
      <x:c r="D144" t="str">
        <x:v>Ciencias Naturales</x:v>
      </x:c>
      <x:c r="E144" s="12" t="n">
        <x:v>47</x:v>
      </x:c>
      <x:c r="F144" s="12" t="n">
        <x:v>47</x:v>
      </x:c>
      <x:c r="G144" s="12" t="n">
        <x:v>37</x:v>
      </x:c>
      <x:c r="H144" s="14" t="n">
        <x:f>IF(F144=0,"",G144/F144)</x:f>
        <x:v>0.7872340425531915</x:v>
      </x:c>
      <x:c r="I144" t="str">
        <x:v>Sí</x:v>
      </x:c>
      <x:c r="J144" t="str">
        <x:v>Puede descargar el informe del curso en esta área</x:v>
      </x:c>
    </x:row>
    <x:row r="145">
      <x:c r="A145" t="str">
        <x:v>2° Ciclo</x:v>
      </x:c>
      <x:c r="B145" t="str">
        <x:v>7° Básico</x:v>
      </x:c>
      <x:c r="C145" t="str">
        <x:v>7°F</x:v>
      </x:c>
      <x:c r="D145" t="str">
        <x:v>Cuestionario Aprendizaje Socioemocional</x:v>
      </x:c>
      <x:c r="E145" s="12" t="n">
        <x:v>43</x:v>
      </x:c>
      <x:c r="F145" s="12" t="n">
        <x:v>43</x:v>
      </x:c>
      <x:c r="G145" s="12" t="n">
        <x:v>32</x:v>
      </x:c>
      <x:c r="H145" s="14" t="n">
        <x:f>IF(F145=0,"",G145/F145)</x:f>
        <x:v>0.7441860465116279</x:v>
      </x:c>
      <x:c r="I145" t="str">
        <x:v>Sí</x:v>
      </x:c>
      <x:c r="J145" t="str">
        <x:v>Puede descargar el informe del curso en esta área</x:v>
      </x:c>
    </x:row>
    <x:row r="146">
      <x:c r="A146" t="str">
        <x:v>2° Ciclo</x:v>
      </x:c>
      <x:c r="B146" t="str">
        <x:v>7° Básico</x:v>
      </x:c>
      <x:c r="C146" t="str">
        <x:v>7°F</x:v>
      </x:c>
      <x:c r="D146" t="str">
        <x:v>Lectura</x:v>
      </x:c>
      <x:c r="E146" s="12" t="n">
        <x:v>43</x:v>
      </x:c>
      <x:c r="F146" s="12" t="n">
        <x:v>43</x:v>
      </x:c>
      <x:c r="G146" s="12" t="n">
        <x:v>23</x:v>
      </x:c>
      <x:c r="H146" s="14" t="n">
        <x:f>IF(F146=0,"",G146/F146)</x:f>
        <x:v>0.5348837209302325</x:v>
      </x:c>
      <x:c r="I146" t="str">
        <x:v>No</x:v>
      </x:c>
      <x:c r="J146" t="str">
        <x:v>Complete el ingreso de respuestas y/o la corrección de P. de desarrollo</x:v>
      </x:c>
    </x:row>
    <x:row r="147">
      <x:c r="A147" t="str">
        <x:v>2° Ciclo</x:v>
      </x:c>
      <x:c r="B147" t="str">
        <x:v>7° Básico</x:v>
      </x:c>
      <x:c r="C147" t="str">
        <x:v>7°F</x:v>
      </x:c>
      <x:c r="D147" t="str">
        <x:v>Matemática</x:v>
      </x:c>
      <x:c r="E147" s="12" t="n">
        <x:v>43</x:v>
      </x:c>
      <x:c r="F147" s="12" t="n">
        <x:v>43</x:v>
      </x:c>
      <x:c r="G147" s="12" t="n">
        <x:v>32</x:v>
      </x:c>
      <x:c r="H147" s="14" t="n">
        <x:f>IF(F147=0,"",G147/F147)</x:f>
        <x:v>0.7441860465116279</x:v>
      </x:c>
      <x:c r="I147" t="str">
        <x:v>No</x:v>
      </x:c>
      <x:c r="J147" t="str">
        <x:v>Complete el ingreso de respuestas y/o la corrección de P. de desarrollo</x:v>
      </x:c>
    </x:row>
    <x:row r="148">
      <x:c r="A148" t="str">
        <x:v>2° Ciclo</x:v>
      </x:c>
      <x:c r="B148" t="str">
        <x:v>7° Básico</x:v>
      </x:c>
      <x:c r="C148" t="str">
        <x:v>7°F</x:v>
      </x:c>
      <x:c r="D148" t="str">
        <x:v>Historia, Geografía y Ciencias Sociales</x:v>
      </x:c>
      <x:c r="E148" s="12" t="n">
        <x:v>43</x:v>
      </x:c>
      <x:c r="F148" s="12" t="n">
        <x:v>43</x:v>
      </x:c>
      <x:c r="G148" s="12" t="n">
        <x:v>36</x:v>
      </x:c>
      <x:c r="H148" s="14" t="n">
        <x:f>IF(F148=0,"",G148/F148)</x:f>
        <x:v>0.8372093023255814</x:v>
      </x:c>
      <x:c r="I148" t="str">
        <x:v>No</x:v>
      </x:c>
      <x:c r="J148" t="str">
        <x:v>Complete el ingreso de respuestas y/o la corrección de P. de desarrollo</x:v>
      </x:c>
    </x:row>
    <x:row r="149">
      <x:c r="A149" t="str">
        <x:v>2° Ciclo</x:v>
      </x:c>
      <x:c r="B149" t="str">
        <x:v>7° Básico</x:v>
      </x:c>
      <x:c r="C149" t="str">
        <x:v>7°F</x:v>
      </x:c>
      <x:c r="D149" t="str">
        <x:v>Ciencias Naturales</x:v>
      </x:c>
      <x:c r="E149" s="12" t="n">
        <x:v>43</x:v>
      </x:c>
      <x:c r="F149" s="12" t="n">
        <x:v>43</x:v>
      </x:c>
      <x:c r="G149" s="12" t="n">
        <x:v>36</x:v>
      </x:c>
      <x:c r="H149" s="14" t="n">
        <x:f>IF(F149=0,"",G149/F149)</x:f>
        <x:v>0.8372093023255814</x:v>
      </x:c>
      <x:c r="I149" t="str">
        <x:v>Sí</x:v>
      </x:c>
      <x:c r="J149" t="str">
        <x:v>Puede descargar el informe del curso en esta área</x:v>
      </x:c>
    </x:row>
    <x:row r="150">
      <x:c r="A150" t="str">
        <x:v>2° Ciclo</x:v>
      </x:c>
      <x:c r="B150" t="str">
        <x:v>7° Básico</x:v>
      </x:c>
      <x:c r="C150" t="str">
        <x:v>7°G</x:v>
      </x:c>
      <x:c r="D150" t="str">
        <x:v>Cuestionario Aprendizaje Socioemocional</x:v>
      </x:c>
      <x:c r="E150" s="12" t="n">
        <x:v>48</x:v>
      </x:c>
      <x:c r="F150" s="12" t="n">
        <x:v>48</x:v>
      </x:c>
      <x:c r="G150" s="12" t="n">
        <x:v>37</x:v>
      </x:c>
      <x:c r="H150" s="14" t="n">
        <x:f>IF(F150=0,"",G150/F150)</x:f>
        <x:v>0.7708333333333334</x:v>
      </x:c>
      <x:c r="I150" t="str">
        <x:v>Sí</x:v>
      </x:c>
      <x:c r="J150" t="str">
        <x:v>Puede descargar el informe del curso en esta área</x:v>
      </x:c>
    </x:row>
    <x:row r="151">
      <x:c r="A151" t="str">
        <x:v>2° Ciclo</x:v>
      </x:c>
      <x:c r="B151" t="str">
        <x:v>7° Básico</x:v>
      </x:c>
      <x:c r="C151" t="str">
        <x:v>7°G</x:v>
      </x:c>
      <x:c r="D151" t="str">
        <x:v>Lectura</x:v>
      </x:c>
      <x:c r="E151" s="12" t="n">
        <x:v>48</x:v>
      </x:c>
      <x:c r="F151" s="12" t="n">
        <x:v>48</x:v>
      </x:c>
      <x:c r="G151" s="12" t="n">
        <x:v>29</x:v>
      </x:c>
      <x:c r="H151" s="14" t="n">
        <x:f>IF(F151=0,"",G151/F151)</x:f>
        <x:v>0.6041666666666666</x:v>
      </x:c>
      <x:c r="I151" t="str">
        <x:v>No</x:v>
      </x:c>
      <x:c r="J151" t="str">
        <x:v>Complete el ingreso de respuestas y/o la corrección de P. de desarrollo</x:v>
      </x:c>
    </x:row>
    <x:row r="152">
      <x:c r="A152" t="str">
        <x:v>2° Ciclo</x:v>
      </x:c>
      <x:c r="B152" t="str">
        <x:v>7° Básico</x:v>
      </x:c>
      <x:c r="C152" t="str">
        <x:v>7°G</x:v>
      </x:c>
      <x:c r="D152" t="str">
        <x:v>Matemática</x:v>
      </x:c>
      <x:c r="E152" s="12" t="n">
        <x:v>48</x:v>
      </x:c>
      <x:c r="F152" s="12" t="n">
        <x:v>48</x:v>
      </x:c>
      <x:c r="G152" s="12" t="n">
        <x:v>38</x:v>
      </x:c>
      <x:c r="H152" s="14" t="n">
        <x:f>IF(F152=0,"",G152/F152)</x:f>
        <x:v>0.7916666666666666</x:v>
      </x:c>
      <x:c r="I152" t="str">
        <x:v>No</x:v>
      </x:c>
      <x:c r="J152" t="str">
        <x:v>Complete el ingreso de respuestas y/o la corrección de P. de desarrollo</x:v>
      </x:c>
    </x:row>
    <x:row r="153">
      <x:c r="A153" t="str">
        <x:v>2° Ciclo</x:v>
      </x:c>
      <x:c r="B153" t="str">
        <x:v>7° Básico</x:v>
      </x:c>
      <x:c r="C153" t="str">
        <x:v>7°G</x:v>
      </x:c>
      <x:c r="D153" t="str">
        <x:v>Historia, Geografía y Ciencias Sociales</x:v>
      </x:c>
      <x:c r="E153" s="12" t="n">
        <x:v>48</x:v>
      </x:c>
      <x:c r="F153" s="12" t="n">
        <x:v>48</x:v>
      </x:c>
      <x:c r="G153" s="12" t="n">
        <x:v>37</x:v>
      </x:c>
      <x:c r="H153" s="14" t="n">
        <x:f>IF(F153=0,"",G153/F153)</x:f>
        <x:v>0.7708333333333334</x:v>
      </x:c>
      <x:c r="I153" t="str">
        <x:v>No</x:v>
      </x:c>
      <x:c r="J153" t="str">
        <x:v>Presione el botón "GENERAR INFORME" en plataforma.</x:v>
      </x:c>
    </x:row>
    <x:row r="154">
      <x:c r="A154" t="str">
        <x:v>2° Ciclo</x:v>
      </x:c>
      <x:c r="B154" t="str">
        <x:v>7° Básico</x:v>
      </x:c>
      <x:c r="C154" t="str">
        <x:v>7°G</x:v>
      </x:c>
      <x:c r="D154" t="str">
        <x:v>Ciencias Naturales</x:v>
      </x:c>
      <x:c r="E154" s="12" t="n">
        <x:v>48</x:v>
      </x:c>
      <x:c r="F154" s="12" t="n">
        <x:v>48</x:v>
      </x:c>
      <x:c r="G154" s="12" t="n">
        <x:v>31</x:v>
      </x:c>
      <x:c r="H154" s="14" t="n">
        <x:f>IF(F154=0,"",G154/F154)</x:f>
        <x:v>0.6458333333333334</x:v>
      </x:c>
      <x:c r="I154" t="str">
        <x:v>No</x:v>
      </x:c>
      <x:c r="J154" t="str">
        <x:v>Complete el ingreso de respuestas y/o la corrección de P. de desarrollo</x:v>
      </x:c>
    </x:row>
    <x:row r="155">
      <x:c r="A155" t="str">
        <x:v>2° Ciclo</x:v>
      </x:c>
      <x:c r="B155" t="str">
        <x:v>8° Básico</x:v>
      </x:c>
      <x:c r="C155" t="str">
        <x:v>8°A</x:v>
      </x:c>
      <x:c r="D155" t="str">
        <x:v>Cuestionario Aprendizaje Socioemocional</x:v>
      </x:c>
      <x:c r="E155" s="12" t="n">
        <x:v>41</x:v>
      </x:c>
      <x:c r="F155" s="12" t="n">
        <x:v>40</x:v>
      </x:c>
      <x:c r="G155" s="12" t="n">
        <x:v>0</x:v>
      </x:c>
      <x:c r="H155" s="14" t="n">
        <x:f>IF(F155=0,"",G155/F155)</x:f>
        <x:v>0</x:v>
      </x:c>
      <x:c r="I155" t="str">
        <x:v>No</x:v>
      </x:c>
      <x:c r="J155" t="str">
        <x:v>Complete el ingreso de respuestas y/o la corrección de P. de desarrollo</x:v>
      </x:c>
    </x:row>
    <x:row r="156">
      <x:c r="A156" t="str">
        <x:v>2° Ciclo</x:v>
      </x:c>
      <x:c r="B156" t="str">
        <x:v>8° Básico</x:v>
      </x:c>
      <x:c r="C156" t="str">
        <x:v>8°A</x:v>
      </x:c>
      <x:c r="D156" t="str">
        <x:v>Lectura</x:v>
      </x:c>
      <x:c r="E156" s="12" t="n">
        <x:v>41</x:v>
      </x:c>
      <x:c r="F156" s="12" t="n">
        <x:v>41</x:v>
      </x:c>
      <x:c r="G156" s="12" t="n">
        <x:v>31</x:v>
      </x:c>
      <x:c r="H156" s="14" t="n">
        <x:f>IF(F156=0,"",G156/F156)</x:f>
        <x:v>0.7560975609756098</x:v>
      </x:c>
      <x:c r="I156" t="str">
        <x:v>Sí</x:v>
      </x:c>
      <x:c r="J156" t="str">
        <x:v>Puede descargar el informe del curso en esta área</x:v>
      </x:c>
    </x:row>
    <x:row r="157">
      <x:c r="A157" t="str">
        <x:v>2° Ciclo</x:v>
      </x:c>
      <x:c r="B157" t="str">
        <x:v>8° Básico</x:v>
      </x:c>
      <x:c r="C157" t="str">
        <x:v>8°A</x:v>
      </x:c>
      <x:c r="D157" t="str">
        <x:v>Matemática</x:v>
      </x:c>
      <x:c r="E157" s="12" t="n">
        <x:v>41</x:v>
      </x:c>
      <x:c r="F157" s="12" t="n">
        <x:v>40</x:v>
      </x:c>
      <x:c r="G157" s="12" t="n">
        <x:v>35</x:v>
      </x:c>
      <x:c r="H157" s="14" t="n">
        <x:f>IF(F157=0,"",G157/F157)</x:f>
        <x:v>0.875</x:v>
      </x:c>
      <x:c r="I157" t="str">
        <x:v>Sí</x:v>
      </x:c>
      <x:c r="J157" t="str">
        <x:v>Puede descargar el informe del curso en esta área</x:v>
      </x:c>
    </x:row>
    <x:row r="158">
      <x:c r="A158" t="str">
        <x:v>2° Ciclo</x:v>
      </x:c>
      <x:c r="B158" t="str">
        <x:v>8° Básico</x:v>
      </x:c>
      <x:c r="C158" t="str">
        <x:v>8°A</x:v>
      </x:c>
      <x:c r="D158" t="str">
        <x:v>Historia, Geografía y Ciencias Sociales</x:v>
      </x:c>
      <x:c r="E158" s="12" t="n">
        <x:v>41</x:v>
      </x:c>
      <x:c r="F158" s="12" t="n">
        <x:v>40</x:v>
      </x:c>
      <x:c r="G158" s="12" t="n">
        <x:v>32</x:v>
      </x:c>
      <x:c r="H158" s="14" t="n">
        <x:f>IF(F158=0,"",G158/F158)</x:f>
        <x:v>0.8</x:v>
      </x:c>
      <x:c r="I158" t="str">
        <x:v>Sí</x:v>
      </x:c>
      <x:c r="J158" t="str">
        <x:v>Puede descargar el informe del curso en esta área</x:v>
      </x:c>
    </x:row>
    <x:row r="159">
      <x:c r="A159" t="str">
        <x:v>2° Ciclo</x:v>
      </x:c>
      <x:c r="B159" t="str">
        <x:v>8° Básico</x:v>
      </x:c>
      <x:c r="C159" t="str">
        <x:v>8°A</x:v>
      </x:c>
      <x:c r="D159" t="str">
        <x:v>Ciencias Naturales</x:v>
      </x:c>
      <x:c r="E159" s="12" t="n">
        <x:v>41</x:v>
      </x:c>
      <x:c r="F159" s="12" t="n">
        <x:v>41</x:v>
      </x:c>
      <x:c r="G159" s="12" t="n">
        <x:v>31</x:v>
      </x:c>
      <x:c r="H159" s="14" t="n">
        <x:f>IF(F159=0,"",G159/F159)</x:f>
        <x:v>0.7560975609756098</x:v>
      </x:c>
      <x:c r="I159" t="str">
        <x:v>Sí</x:v>
      </x:c>
      <x:c r="J159" t="str">
        <x:v>Puede descargar el informe del curso en esta área</x:v>
      </x:c>
    </x:row>
    <x:row r="160">
      <x:c r="A160" t="str">
        <x:v>2° Ciclo</x:v>
      </x:c>
      <x:c r="B160" t="str">
        <x:v>8° Básico</x:v>
      </x:c>
      <x:c r="C160" t="str">
        <x:v>8°B</x:v>
      </x:c>
      <x:c r="D160" t="str">
        <x:v>Lectura</x:v>
      </x:c>
      <x:c r="E160" s="12" t="n">
        <x:v>44</x:v>
      </x:c>
      <x:c r="F160" s="12" t="n">
        <x:v>44</x:v>
      </x:c>
      <x:c r="G160" s="12" t="n">
        <x:v>34</x:v>
      </x:c>
      <x:c r="H160" s="14" t="n">
        <x:f>IF(F160=0,"",G160/F160)</x:f>
        <x:v>0.7727272727272727</x:v>
      </x:c>
      <x:c r="I160" t="str">
        <x:v>Sí</x:v>
      </x:c>
      <x:c r="J160" t="str">
        <x:v>Puede descargar el informe del curso en esta área</x:v>
      </x:c>
    </x:row>
    <x:row r="161">
      <x:c r="A161" t="str">
        <x:v>2° Ciclo</x:v>
      </x:c>
      <x:c r="B161" t="str">
        <x:v>8° Básico</x:v>
      </x:c>
      <x:c r="C161" t="str">
        <x:v>8°B</x:v>
      </x:c>
      <x:c r="D161" t="str">
        <x:v>Matemática</x:v>
      </x:c>
      <x:c r="E161" s="12" t="n">
        <x:v>44</x:v>
      </x:c>
      <x:c r="F161" s="12" t="n">
        <x:v>44</x:v>
      </x:c>
      <x:c r="G161" s="12" t="n">
        <x:v>37</x:v>
      </x:c>
      <x:c r="H161" s="14" t="n">
        <x:f>IF(F161=0,"",G161/F161)</x:f>
        <x:v>0.8409090909090909</x:v>
      </x:c>
      <x:c r="I161" t="str">
        <x:v>Sí</x:v>
      </x:c>
      <x:c r="J161" t="str">
        <x:v>Puede descargar el informe del curso en esta área</x:v>
      </x:c>
    </x:row>
    <x:row r="162">
      <x:c r="A162" t="str">
        <x:v>2° Ciclo</x:v>
      </x:c>
      <x:c r="B162" t="str">
        <x:v>8° Básico</x:v>
      </x:c>
      <x:c r="C162" t="str">
        <x:v>8°B</x:v>
      </x:c>
      <x:c r="D162" t="str">
        <x:v>Historia, Geografía y Ciencias Sociales</x:v>
      </x:c>
      <x:c r="E162" s="12" t="n">
        <x:v>44</x:v>
      </x:c>
      <x:c r="F162" s="12" t="n">
        <x:v>44</x:v>
      </x:c>
      <x:c r="G162" s="12" t="n">
        <x:v>30</x:v>
      </x:c>
      <x:c r="H162" s="14" t="n">
        <x:f>IF(F162=0,"",G162/F162)</x:f>
        <x:v>0.6818181818181818</x:v>
      </x:c>
      <x:c r="I162" t="str">
        <x:v>Sí</x:v>
      </x:c>
      <x:c r="J162" t="str">
        <x:v>Puede descargar el informe del curso en esta área</x:v>
      </x:c>
    </x:row>
    <x:row r="163">
      <x:c r="A163" t="str">
        <x:v>2° Ciclo</x:v>
      </x:c>
      <x:c r="B163" t="str">
        <x:v>8° Básico</x:v>
      </x:c>
      <x:c r="C163" t="str">
        <x:v>8°B</x:v>
      </x:c>
      <x:c r="D163" t="str">
        <x:v>Ciencias Naturales</x:v>
      </x:c>
      <x:c r="E163" s="12" t="n">
        <x:v>44</x:v>
      </x:c>
      <x:c r="F163" s="12" t="n">
        <x:v>44</x:v>
      </x:c>
      <x:c r="G163" s="12" t="n">
        <x:v>29</x:v>
      </x:c>
      <x:c r="H163" s="14" t="n">
        <x:f>IF(F163=0,"",G163/F163)</x:f>
        <x:v>0.6590909090909091</x:v>
      </x:c>
      <x:c r="I163" t="str">
        <x:v>No</x:v>
      </x:c>
      <x:c r="J163" t="str">
        <x:v>Complete el ingreso de respuestas y/o la corrección de P. de desarrollo</x:v>
      </x:c>
    </x:row>
    <x:row r="164">
      <x:c r="A164" t="str">
        <x:v>2° Ciclo</x:v>
      </x:c>
      <x:c r="B164" t="str">
        <x:v>8° Básico</x:v>
      </x:c>
      <x:c r="C164" t="str">
        <x:v>8°C</x:v>
      </x:c>
      <x:c r="D164" t="str">
        <x:v>Lectura</x:v>
      </x:c>
      <x:c r="E164" s="12" t="n">
        <x:v>46</x:v>
      </x:c>
      <x:c r="F164" s="12" t="n">
        <x:v>42</x:v>
      </x:c>
      <x:c r="G164" s="12" t="n">
        <x:v>29</x:v>
      </x:c>
      <x:c r="H164" s="14" t="n">
        <x:f>IF(F164=0,"",G164/F164)</x:f>
        <x:v>0.6904761904761905</x:v>
      </x:c>
      <x:c r="I164" t="str">
        <x:v>Sí</x:v>
      </x:c>
      <x:c r="J164" t="str">
        <x:v>Puede descargar el informe del curso en esta área</x:v>
      </x:c>
    </x:row>
    <x:row r="165">
      <x:c r="A165" t="str">
        <x:v>2° Ciclo</x:v>
      </x:c>
      <x:c r="B165" t="str">
        <x:v>8° Básico</x:v>
      </x:c>
      <x:c r="C165" t="str">
        <x:v>8°C</x:v>
      </x:c>
      <x:c r="D165" t="str">
        <x:v>Matemática</x:v>
      </x:c>
      <x:c r="E165" s="12" t="n">
        <x:v>46</x:v>
      </x:c>
      <x:c r="F165" s="12" t="n">
        <x:v>42</x:v>
      </x:c>
      <x:c r="G165" s="12" t="n">
        <x:v>27</x:v>
      </x:c>
      <x:c r="H165" s="14" t="n">
        <x:f>IF(F165=0,"",G165/F165)</x:f>
        <x:v>0.6428571428571429</x:v>
      </x:c>
      <x:c r="I165" t="str">
        <x:v>Sí</x:v>
      </x:c>
      <x:c r="J165" t="str">
        <x:v>Puede descargar el informe del curso en esta área</x:v>
      </x:c>
    </x:row>
    <x:row r="166">
      <x:c r="A166" t="str">
        <x:v>2° Ciclo</x:v>
      </x:c>
      <x:c r="B166" t="str">
        <x:v>8° Básico</x:v>
      </x:c>
      <x:c r="C166" t="str">
        <x:v>8°C</x:v>
      </x:c>
      <x:c r="D166" t="str">
        <x:v>Historia, Geografía y Ciencias Sociales</x:v>
      </x:c>
      <x:c r="E166" s="12" t="n">
        <x:v>46</x:v>
      </x:c>
      <x:c r="F166" s="12" t="n">
        <x:v>42</x:v>
      </x:c>
      <x:c r="G166" s="12" t="n">
        <x:v>28</x:v>
      </x:c>
      <x:c r="H166" s="14" t="n">
        <x:f>IF(F166=0,"",G166/F166)</x:f>
        <x:v>0.6666666666666666</x:v>
      </x:c>
      <x:c r="I166" t="str">
        <x:v>Sí</x:v>
      </x:c>
      <x:c r="J166" t="str">
        <x:v>Puede descargar el informe del curso en esta área</x:v>
      </x:c>
    </x:row>
    <x:row r="167">
      <x:c r="A167" t="str">
        <x:v>2° Ciclo</x:v>
      </x:c>
      <x:c r="B167" t="str">
        <x:v>8° Básico</x:v>
      </x:c>
      <x:c r="C167" t="str">
        <x:v>8°C</x:v>
      </x:c>
      <x:c r="D167" t="str">
        <x:v>Ciencias Naturales</x:v>
      </x:c>
      <x:c r="E167" s="12" t="n">
        <x:v>46</x:v>
      </x:c>
      <x:c r="F167" s="12" t="n">
        <x:v>46</x:v>
      </x:c>
      <x:c r="G167" s="12" t="n">
        <x:v>21</x:v>
      </x:c>
      <x:c r="H167" s="14" t="n">
        <x:f>IF(F167=0,"",G167/F167)</x:f>
        <x:v>0.45652173913043476</x:v>
      </x:c>
      <x:c r="I167" t="str">
        <x:v>Sí</x:v>
      </x:c>
      <x:c r="J167" t="str">
        <x:v>Puede descargar el informe del curso en esta área</x:v>
      </x:c>
    </x:row>
    <x:row r="168">
      <x:c r="A168" t="str">
        <x:v>2° Ciclo</x:v>
      </x:c>
      <x:c r="B168" t="str">
        <x:v>8° Básico</x:v>
      </x:c>
      <x:c r="C168" t="str">
        <x:v>8°D</x:v>
      </x:c>
      <x:c r="D168" t="str">
        <x:v>Lectura</x:v>
      </x:c>
      <x:c r="E168" s="12" t="n">
        <x:v>45</x:v>
      </x:c>
      <x:c r="F168" s="12" t="n">
        <x:v>43</x:v>
      </x:c>
      <x:c r="G168" s="12" t="n">
        <x:v>32</x:v>
      </x:c>
      <x:c r="H168" s="14" t="n">
        <x:f>IF(F168=0,"",G168/F168)</x:f>
        <x:v>0.7441860465116279</x:v>
      </x:c>
      <x:c r="I168" t="str">
        <x:v>Sí</x:v>
      </x:c>
      <x:c r="J168" t="str">
        <x:v>Puede descargar el informe del curso en esta área</x:v>
      </x:c>
    </x:row>
    <x:row r="169">
      <x:c r="A169" t="str">
        <x:v>2° Ciclo</x:v>
      </x:c>
      <x:c r="B169" t="str">
        <x:v>8° Básico</x:v>
      </x:c>
      <x:c r="C169" t="str">
        <x:v>8°D</x:v>
      </x:c>
      <x:c r="D169" t="str">
        <x:v>Matemática</x:v>
      </x:c>
      <x:c r="E169" s="12" t="n">
        <x:v>45</x:v>
      </x:c>
      <x:c r="F169" s="12" t="n">
        <x:v>43</x:v>
      </x:c>
      <x:c r="G169" s="12" t="n">
        <x:v>28</x:v>
      </x:c>
      <x:c r="H169" s="14" t="n">
        <x:f>IF(F169=0,"",G169/F169)</x:f>
        <x:v>0.6511627906976745</x:v>
      </x:c>
      <x:c r="I169" t="str">
        <x:v>Sí</x:v>
      </x:c>
      <x:c r="J169" t="str">
        <x:v>Puede descargar el informe del curso en esta área</x:v>
      </x:c>
    </x:row>
    <x:row r="170">
      <x:c r="A170" t="str">
        <x:v>2° Ciclo</x:v>
      </x:c>
      <x:c r="B170" t="str">
        <x:v>8° Básico</x:v>
      </x:c>
      <x:c r="C170" t="str">
        <x:v>8°D</x:v>
      </x:c>
      <x:c r="D170" t="str">
        <x:v>Historia, Geografía y Ciencias Sociales</x:v>
      </x:c>
      <x:c r="E170" s="12" t="n">
        <x:v>45</x:v>
      </x:c>
      <x:c r="F170" s="12" t="n">
        <x:v>43</x:v>
      </x:c>
      <x:c r="G170" s="12" t="n">
        <x:v>34</x:v>
      </x:c>
      <x:c r="H170" s="14" t="n">
        <x:f>IF(F170=0,"",G170/F170)</x:f>
        <x:v>0.7906976744186046</x:v>
      </x:c>
      <x:c r="I170" t="str">
        <x:v>Sí</x:v>
      </x:c>
      <x:c r="J170" t="str">
        <x:v>Puede descargar el informe del curso en esta área</x:v>
      </x:c>
    </x:row>
    <x:row r="171">
      <x:c r="A171" t="str">
        <x:v>2° Ciclo</x:v>
      </x:c>
      <x:c r="B171" t="str">
        <x:v>8° Básico</x:v>
      </x:c>
      <x:c r="C171" t="str">
        <x:v>8°D</x:v>
      </x:c>
      <x:c r="D171" t="str">
        <x:v>Ciencias Naturales</x:v>
      </x:c>
      <x:c r="E171" s="12" t="n">
        <x:v>45</x:v>
      </x:c>
      <x:c r="F171" s="12" t="n">
        <x:v>45</x:v>
      </x:c>
      <x:c r="G171" s="12" t="n">
        <x:v>23</x:v>
      </x:c>
      <x:c r="H171" s="14" t="n">
        <x:f>IF(F171=0,"",G171/F171)</x:f>
        <x:v>0.5111111111111111</x:v>
      </x:c>
      <x:c r="I171" t="str">
        <x:v>Sí</x:v>
      </x:c>
      <x:c r="J171" t="str">
        <x:v>Puede descargar el informe del curso en esta área</x:v>
      </x:c>
    </x:row>
    <x:row r="172">
      <x:c r="A172" t="str">
        <x:v>2° Ciclo</x:v>
      </x:c>
      <x:c r="B172" t="str">
        <x:v>8° Básico</x:v>
      </x:c>
      <x:c r="C172" t="str">
        <x:v>8°E</x:v>
      </x:c>
      <x:c r="D172" t="str">
        <x:v>Cuestionario Aprendizaje Socioemocional</x:v>
      </x:c>
      <x:c r="E172" s="12" t="n">
        <x:v>43</x:v>
      </x:c>
      <x:c r="F172" s="12" t="n">
        <x:v>43</x:v>
      </x:c>
      <x:c r="G172" s="12" t="n">
        <x:v>35</x:v>
      </x:c>
      <x:c r="H172" s="14" t="n">
        <x:f>IF(F172=0,"",G172/F172)</x:f>
        <x:v>0.813953488372093</x:v>
      </x:c>
      <x:c r="I172" t="str">
        <x:v>Sí</x:v>
      </x:c>
      <x:c r="J172" t="str">
        <x:v>Puede descargar el informe del curso en esta área</x:v>
      </x:c>
    </x:row>
    <x:row r="173">
      <x:c r="A173" t="str">
        <x:v>2° Ciclo</x:v>
      </x:c>
      <x:c r="B173" t="str">
        <x:v>8° Básico</x:v>
      </x:c>
      <x:c r="C173" t="str">
        <x:v>8°E</x:v>
      </x:c>
      <x:c r="D173" t="str">
        <x:v>Lectura</x:v>
      </x:c>
      <x:c r="E173" s="12" t="n">
        <x:v>43</x:v>
      </x:c>
      <x:c r="F173" s="12" t="n">
        <x:v>43</x:v>
      </x:c>
      <x:c r="G173" s="12" t="n">
        <x:v>31</x:v>
      </x:c>
      <x:c r="H173" s="14" t="n">
        <x:f>IF(F173=0,"",G173/F173)</x:f>
        <x:v>0.7209302325581395</x:v>
      </x:c>
      <x:c r="I173" t="str">
        <x:v>Sí</x:v>
      </x:c>
      <x:c r="J173" t="str">
        <x:v>Puede descargar el informe del curso en esta área</x:v>
      </x:c>
    </x:row>
    <x:row r="174">
      <x:c r="A174" t="str">
        <x:v>2° Ciclo</x:v>
      </x:c>
      <x:c r="B174" t="str">
        <x:v>8° Básico</x:v>
      </x:c>
      <x:c r="C174" t="str">
        <x:v>8°E</x:v>
      </x:c>
      <x:c r="D174" t="str">
        <x:v>Matemática</x:v>
      </x:c>
      <x:c r="E174" s="12" t="n">
        <x:v>43</x:v>
      </x:c>
      <x:c r="F174" s="12" t="n">
        <x:v>43</x:v>
      </x:c>
      <x:c r="G174" s="12" t="n">
        <x:v>33</x:v>
      </x:c>
      <x:c r="H174" s="14" t="n">
        <x:f>IF(F174=0,"",G174/F174)</x:f>
        <x:v>0.7674418604651163</x:v>
      </x:c>
      <x:c r="I174" t="str">
        <x:v>No</x:v>
      </x:c>
      <x:c r="J174" t="str">
        <x:v>Complete el ingreso de respuestas y/o la corrección de P. de desarrollo</x:v>
      </x:c>
    </x:row>
    <x:row r="175">
      <x:c r="A175" t="str">
        <x:v>2° Ciclo</x:v>
      </x:c>
      <x:c r="B175" t="str">
        <x:v>8° Básico</x:v>
      </x:c>
      <x:c r="C175" t="str">
        <x:v>8°E</x:v>
      </x:c>
      <x:c r="D175" t="str">
        <x:v>Historia, Geografía y Ciencias Sociales</x:v>
      </x:c>
      <x:c r="E175" s="12" t="n">
        <x:v>43</x:v>
      </x:c>
      <x:c r="F175" s="12" t="n">
        <x:v>43</x:v>
      </x:c>
      <x:c r="G175" s="12" t="n">
        <x:v>35</x:v>
      </x:c>
      <x:c r="H175" s="14" t="n">
        <x:f>IF(F175=0,"",G175/F175)</x:f>
        <x:v>0.813953488372093</x:v>
      </x:c>
      <x:c r="I175" t="str">
        <x:v>No</x:v>
      </x:c>
      <x:c r="J175" t="str">
        <x:v>Complete el ingreso de respuestas y/o la corrección de P. de desarrollo</x:v>
      </x:c>
    </x:row>
    <x:row r="176">
      <x:c r="A176" t="str">
        <x:v>2° Ciclo</x:v>
      </x:c>
      <x:c r="B176" t="str">
        <x:v>8° Básico</x:v>
      </x:c>
      <x:c r="C176" t="str">
        <x:v>8°E</x:v>
      </x:c>
      <x:c r="D176" t="str">
        <x:v>Ciencias Naturales</x:v>
      </x:c>
      <x:c r="E176" s="12" t="n">
        <x:v>43</x:v>
      </x:c>
      <x:c r="F176" s="12" t="n">
        <x:v>43</x:v>
      </x:c>
      <x:c r="G176" s="12" t="n">
        <x:v>34</x:v>
      </x:c>
      <x:c r="H176" s="14" t="n">
        <x:f>IF(F176=0,"",G176/F176)</x:f>
        <x:v>0.7906976744186046</x:v>
      </x:c>
      <x:c r="I176" t="str">
        <x:v>Sí</x:v>
      </x:c>
      <x:c r="J176" t="str">
        <x:v>Puede descargar el informe del curso en esta área</x:v>
      </x:c>
    </x:row>
    <x:row r="177">
      <x:c r="A177" t="str">
        <x:v>2° Ciclo</x:v>
      </x:c>
      <x:c r="B177" t="str">
        <x:v>8° Básico</x:v>
      </x:c>
      <x:c r="C177" t="str">
        <x:v>8°F</x:v>
      </x:c>
      <x:c r="D177" t="str">
        <x:v>Cuestionario Aprendizaje Socioemocional</x:v>
      </x:c>
      <x:c r="E177" s="12" t="n">
        <x:v>44</x:v>
      </x:c>
      <x:c r="F177" s="12" t="n">
        <x:v>42</x:v>
      </x:c>
      <x:c r="G177" s="12" t="n">
        <x:v>31</x:v>
      </x:c>
      <x:c r="H177" s="14" t="n">
        <x:f>IF(F177=0,"",G177/F177)</x:f>
        <x:v>0.7380952380952381</x:v>
      </x:c>
      <x:c r="I177" t="str">
        <x:v>Sí</x:v>
      </x:c>
      <x:c r="J177" t="str">
        <x:v>Puede descargar el informe del curso en esta área</x:v>
      </x:c>
    </x:row>
    <x:row r="178">
      <x:c r="A178" t="str">
        <x:v>2° Ciclo</x:v>
      </x:c>
      <x:c r="B178" t="str">
        <x:v>8° Básico</x:v>
      </x:c>
      <x:c r="C178" t="str">
        <x:v>8°F</x:v>
      </x:c>
      <x:c r="D178" t="str">
        <x:v>Lectura</x:v>
      </x:c>
      <x:c r="E178" s="12" t="n">
        <x:v>44</x:v>
      </x:c>
      <x:c r="F178" s="12" t="n">
        <x:v>44</x:v>
      </x:c>
      <x:c r="G178" s="12" t="n">
        <x:v>32</x:v>
      </x:c>
      <x:c r="H178" s="14" t="n">
        <x:f>IF(F178=0,"",G178/F178)</x:f>
        <x:v>0.7272727272727273</x:v>
      </x:c>
      <x:c r="I178" t="str">
        <x:v>Sí</x:v>
      </x:c>
      <x:c r="J178" t="str">
        <x:v>Puede descargar el informe del curso en esta área</x:v>
      </x:c>
    </x:row>
    <x:row r="179">
      <x:c r="A179" t="str">
        <x:v>2° Ciclo</x:v>
      </x:c>
      <x:c r="B179" t="str">
        <x:v>8° Básico</x:v>
      </x:c>
      <x:c r="C179" t="str">
        <x:v>8°F</x:v>
      </x:c>
      <x:c r="D179" t="str">
        <x:v>Matemática</x:v>
      </x:c>
      <x:c r="E179" s="12" t="n">
        <x:v>44</x:v>
      </x:c>
      <x:c r="F179" s="12" t="n">
        <x:v>44</x:v>
      </x:c>
      <x:c r="G179" s="12" t="n">
        <x:v>28</x:v>
      </x:c>
      <x:c r="H179" s="14" t="n">
        <x:f>IF(F179=0,"",G179/F179)</x:f>
        <x:v>0.6363636363636364</x:v>
      </x:c>
      <x:c r="I179" t="str">
        <x:v>No</x:v>
      </x:c>
      <x:c r="J179" t="str">
        <x:v>Complete el ingreso de respuestas y/o la corrección de P. de desarrollo</x:v>
      </x:c>
    </x:row>
    <x:row r="180">
      <x:c r="A180" t="str">
        <x:v>2° Ciclo</x:v>
      </x:c>
      <x:c r="B180" t="str">
        <x:v>8° Básico</x:v>
      </x:c>
      <x:c r="C180" t="str">
        <x:v>8°F</x:v>
      </x:c>
      <x:c r="D180" t="str">
        <x:v>Historia, Geografía y Ciencias Sociales</x:v>
      </x:c>
      <x:c r="E180" s="12" t="n">
        <x:v>44</x:v>
      </x:c>
      <x:c r="F180" s="12" t="n">
        <x:v>44</x:v>
      </x:c>
      <x:c r="G180" s="12" t="n">
        <x:v>24</x:v>
      </x:c>
      <x:c r="H180" s="14" t="n">
        <x:f>IF(F180=0,"",G180/F180)</x:f>
        <x:v>0.5454545454545454</x:v>
      </x:c>
      <x:c r="I180" t="str">
        <x:v>Sí</x:v>
      </x:c>
      <x:c r="J180" t="str">
        <x:v>Puede descargar el informe del curso en esta área</x:v>
      </x:c>
    </x:row>
    <x:row r="181">
      <x:c r="A181" t="str">
        <x:v>2° Ciclo</x:v>
      </x:c>
      <x:c r="B181" t="str">
        <x:v>8° Básico</x:v>
      </x:c>
      <x:c r="C181" t="str">
        <x:v>8°F</x:v>
      </x:c>
      <x:c r="D181" t="str">
        <x:v>Ciencias Naturales</x:v>
      </x:c>
      <x:c r="E181" s="12" t="n">
        <x:v>44</x:v>
      </x:c>
      <x:c r="F181" s="12" t="n">
        <x:v>44</x:v>
      </x:c>
      <x:c r="G181" s="12" t="n">
        <x:v>30</x:v>
      </x:c>
      <x:c r="H181" s="14" t="n">
        <x:f>IF(F181=0,"",G181/F181)</x:f>
        <x:v>0.6818181818181818</x:v>
      </x:c>
      <x:c r="I181" t="str">
        <x:v>Sí</x:v>
      </x:c>
      <x:c r="J181" t="str">
        <x:v>Puede descargar el informe del curso en esta área</x:v>
      </x:c>
    </x:row>
    <x:row r="182">
      <x:c r="A182" t="str">
        <x:v>2° Ciclo</x:v>
      </x:c>
      <x:c r="B182" t="str">
        <x:v>8° Básico</x:v>
      </x:c>
      <x:c r="C182" t="str">
        <x:v>8°G</x:v>
      </x:c>
      <x:c r="D182" t="str">
        <x:v>Cuestionario Aprendizaje Socioemocional</x:v>
      </x:c>
      <x:c r="E182" s="12" t="n">
        <x:v>42</x:v>
      </x:c>
      <x:c r="F182" s="12" t="n">
        <x:v>41</x:v>
      </x:c>
      <x:c r="G182" s="12" t="n">
        <x:v>33</x:v>
      </x:c>
      <x:c r="H182" s="14" t="n">
        <x:f>IF(F182=0,"",G182/F182)</x:f>
        <x:v>0.8048780487804879</x:v>
      </x:c>
      <x:c r="I182" t="str">
        <x:v>Sí</x:v>
      </x:c>
      <x:c r="J182" t="str">
        <x:v>Puede descargar el informe del curso en esta área</x:v>
      </x:c>
    </x:row>
    <x:row r="183">
      <x:c r="A183" t="str">
        <x:v>2° Ciclo</x:v>
      </x:c>
      <x:c r="B183" t="str">
        <x:v>8° Básico</x:v>
      </x:c>
      <x:c r="C183" t="str">
        <x:v>8°G</x:v>
      </x:c>
      <x:c r="D183" t="str">
        <x:v>Lectura</x:v>
      </x:c>
      <x:c r="E183" s="12" t="n">
        <x:v>42</x:v>
      </x:c>
      <x:c r="F183" s="12" t="n">
        <x:v>42</x:v>
      </x:c>
      <x:c r="G183" s="12" t="n">
        <x:v>29</x:v>
      </x:c>
      <x:c r="H183" s="14" t="n">
        <x:f>IF(F183=0,"",G183/F183)</x:f>
        <x:v>0.6904761904761905</x:v>
      </x:c>
      <x:c r="I183" t="str">
        <x:v>Sí</x:v>
      </x:c>
      <x:c r="J183" t="str">
        <x:v>Puede descargar el informe del curso en esta área</x:v>
      </x:c>
    </x:row>
    <x:row r="184">
      <x:c r="A184" t="str">
        <x:v>2° Ciclo</x:v>
      </x:c>
      <x:c r="B184" t="str">
        <x:v>8° Básico</x:v>
      </x:c>
      <x:c r="C184" t="str">
        <x:v>8°G</x:v>
      </x:c>
      <x:c r="D184" t="str">
        <x:v>Matemática</x:v>
      </x:c>
      <x:c r="E184" s="12" t="n">
        <x:v>42</x:v>
      </x:c>
      <x:c r="F184" s="12" t="n">
        <x:v>41</x:v>
      </x:c>
      <x:c r="G184" s="12" t="n">
        <x:v>18</x:v>
      </x:c>
      <x:c r="H184" s="14" t="n">
        <x:f>IF(F184=0,"",G184/F184)</x:f>
        <x:v>0.43902439024390244</x:v>
      </x:c>
      <x:c r="I184" t="str">
        <x:v>No</x:v>
      </x:c>
      <x:c r="J184" t="str">
        <x:v>Complete el ingreso de respuestas y/o la corrección de P. de desarrollo</x:v>
      </x:c>
    </x:row>
    <x:row r="185">
      <x:c r="A185" t="str">
        <x:v>2° Ciclo</x:v>
      </x:c>
      <x:c r="B185" t="str">
        <x:v>8° Básico</x:v>
      </x:c>
      <x:c r="C185" t="str">
        <x:v>8°G</x:v>
      </x:c>
      <x:c r="D185" t="str">
        <x:v>Historia, Geografía y Ciencias Sociales</x:v>
      </x:c>
      <x:c r="E185" s="12" t="n">
        <x:v>42</x:v>
      </x:c>
      <x:c r="F185" s="12" t="n">
        <x:v>42</x:v>
      </x:c>
      <x:c r="G185" s="12" t="n">
        <x:v>25</x:v>
      </x:c>
      <x:c r="H185" s="14" t="n">
        <x:f>IF(F185=0,"",G185/F185)</x:f>
        <x:v>0.5952380952380952</x:v>
      </x:c>
      <x:c r="I185" t="str">
        <x:v>No</x:v>
      </x:c>
      <x:c r="J185" t="str">
        <x:v>Complete el ingreso de respuestas y/o la corrección de P. de desarrollo</x:v>
      </x:c>
    </x:row>
    <x:row r="186">
      <x:c r="A186" t="str">
        <x:v>2° Ciclo</x:v>
      </x:c>
      <x:c r="B186" t="str">
        <x:v>8° Básico</x:v>
      </x:c>
      <x:c r="C186" t="str">
        <x:v>8°G</x:v>
      </x:c>
      <x:c r="D186" t="str">
        <x:v>Ciencias Naturales</x:v>
      </x:c>
      <x:c r="E186" s="12" t="n">
        <x:v>42</x:v>
      </x:c>
      <x:c r="F186" s="12" t="n">
        <x:v>42</x:v>
      </x:c>
      <x:c r="G186" s="12" t="n">
        <x:v>31</x:v>
      </x:c>
      <x:c r="H186" s="14" t="n">
        <x:f>IF(F186=0,"",G186/F186)</x:f>
        <x:v>0.7380952380952381</x:v>
      </x:c>
      <x:c r="I186" t="str">
        <x:v>No</x:v>
      </x:c>
      <x:c r="J186" t="str">
        <x:v>Complete el ingreso de respuestas y/o la corrección de P. de desarrollo</x:v>
      </x:c>
    </x:row>
    <x:row r="187">
      <x:c r="A187" t="str">
        <x:v>Ens. Media</x:v>
      </x:c>
      <x:c r="B187" t="str">
        <x:v>I° Medio</x:v>
      </x:c>
      <x:c r="C187" t="str">
        <x:v>I A</x:v>
      </x:c>
      <x:c r="D187" t="str">
        <x:v>Lectura</x:v>
      </x:c>
      <x:c r="E187" s="12" t="n">
        <x:v>37</x:v>
      </x:c>
      <x:c r="F187" s="12" t="n">
        <x:v>37</x:v>
      </x:c>
      <x:c r="G187" s="12" t="n">
        <x:v>29</x:v>
      </x:c>
      <x:c r="H187" s="14" t="n">
        <x:f>IF(F187=0,"",G187/F187)</x:f>
        <x:v>0.7837837837837838</x:v>
      </x:c>
      <x:c r="I187" t="str">
        <x:v>Sí</x:v>
      </x:c>
      <x:c r="J187" t="str">
        <x:v>Puede descargar el informe del curso en esta área</x:v>
      </x:c>
    </x:row>
    <x:row r="188">
      <x:c r="A188" t="str">
        <x:v>Ens. Media</x:v>
      </x:c>
      <x:c r="B188" t="str">
        <x:v>I° Medio</x:v>
      </x:c>
      <x:c r="C188" t="str">
        <x:v>I A</x:v>
      </x:c>
      <x:c r="D188" t="str">
        <x:v>Matemática</x:v>
      </x:c>
      <x:c r="E188" s="12" t="n">
        <x:v>37</x:v>
      </x:c>
      <x:c r="F188" s="12" t="n">
        <x:v>37</x:v>
      </x:c>
      <x:c r="G188" s="12" t="n">
        <x:v>23</x:v>
      </x:c>
      <x:c r="H188" s="14" t="n">
        <x:f>IF(F188=0,"",G188/F188)</x:f>
        <x:v>0.6216216216216216</x:v>
      </x:c>
      <x:c r="I188" t="str">
        <x:v>Sí</x:v>
      </x:c>
      <x:c r="J188" t="str">
        <x:v>Puede descargar el informe del curso en esta área</x:v>
      </x:c>
    </x:row>
    <x:row r="189">
      <x:c r="A189" t="str">
        <x:v>Ens. Media</x:v>
      </x:c>
      <x:c r="B189" t="str">
        <x:v>I° Medio</x:v>
      </x:c>
      <x:c r="C189" t="str">
        <x:v>I B</x:v>
      </x:c>
      <x:c r="D189" t="str">
        <x:v>Lectura</x:v>
      </x:c>
      <x:c r="E189" s="12" t="n">
        <x:v>42</x:v>
      </x:c>
      <x:c r="F189" s="12" t="n">
        <x:v>42</x:v>
      </x:c>
      <x:c r="G189" s="12" t="n">
        <x:v>30</x:v>
      </x:c>
      <x:c r="H189" s="14" t="n">
        <x:f>IF(F189=0,"",G189/F189)</x:f>
        <x:v>0.7142857142857143</x:v>
      </x:c>
      <x:c r="I189" t="str">
        <x:v>Sí</x:v>
      </x:c>
      <x:c r="J189" t="str">
        <x:v>Puede descargar el informe del curso en esta área</x:v>
      </x:c>
    </x:row>
    <x:row r="190">
      <x:c r="A190" t="str">
        <x:v>Ens. Media</x:v>
      </x:c>
      <x:c r="B190" t="str">
        <x:v>I° Medio</x:v>
      </x:c>
      <x:c r="C190" t="str">
        <x:v>I B</x:v>
      </x:c>
      <x:c r="D190" t="str">
        <x:v>Matemática</x:v>
      </x:c>
      <x:c r="E190" s="12" t="n">
        <x:v>42</x:v>
      </x:c>
      <x:c r="F190" s="12" t="n">
        <x:v>41</x:v>
      </x:c>
      <x:c r="G190" s="12" t="n">
        <x:v>26</x:v>
      </x:c>
      <x:c r="H190" s="14" t="n">
        <x:f>IF(F190=0,"",G190/F190)</x:f>
        <x:v>0.6341463414634146</x:v>
      </x:c>
      <x:c r="I190" t="str">
        <x:v>Sí</x:v>
      </x:c>
      <x:c r="J190" t="str">
        <x:v>Puede descargar el informe del curso en esta área</x:v>
      </x:c>
    </x:row>
    <x:row r="191">
      <x:c r="A191" t="str">
        <x:v>Ens. Media</x:v>
      </x:c>
      <x:c r="B191" t="str">
        <x:v>I° Medio</x:v>
      </x:c>
      <x:c r="C191" t="str">
        <x:v>I C</x:v>
      </x:c>
      <x:c r="D191" t="str">
        <x:v>Lectura</x:v>
      </x:c>
      <x:c r="E191" s="12" t="n">
        <x:v>44</x:v>
      </x:c>
      <x:c r="F191" s="12" t="n">
        <x:v>42</x:v>
      </x:c>
      <x:c r="G191" s="12" t="n">
        <x:v>26</x:v>
      </x:c>
      <x:c r="H191" s="14" t="n">
        <x:f>IF(F191=0,"",G191/F191)</x:f>
        <x:v>0.6190476190476191</x:v>
      </x:c>
      <x:c r="I191" t="str">
        <x:v>Sí</x:v>
      </x:c>
      <x:c r="J191" t="str">
        <x:v>Puede descargar el informe del curso en esta área</x:v>
      </x:c>
    </x:row>
    <x:row r="192">
      <x:c r="A192" t="str">
        <x:v>Ens. Media</x:v>
      </x:c>
      <x:c r="B192" t="str">
        <x:v>I° Medio</x:v>
      </x:c>
      <x:c r="C192" t="str">
        <x:v>I C</x:v>
      </x:c>
      <x:c r="D192" t="str">
        <x:v>Matemática</x:v>
      </x:c>
      <x:c r="E192" s="12" t="n">
        <x:v>44</x:v>
      </x:c>
      <x:c r="F192" s="12" t="n">
        <x:v>44</x:v>
      </x:c>
      <x:c r="G192" s="12" t="n">
        <x:v>32</x:v>
      </x:c>
      <x:c r="H192" s="14" t="n">
        <x:f>IF(F192=0,"",G192/F192)</x:f>
        <x:v>0.7272727272727273</x:v>
      </x:c>
      <x:c r="I192" t="str">
        <x:v>Sí</x:v>
      </x:c>
      <x:c r="J192" t="str">
        <x:v>Puede descargar el informe del curso en esta área</x:v>
      </x:c>
    </x:row>
    <x:row r="193">
      <x:c r="A193" t="str">
        <x:v>Ens. Media</x:v>
      </x:c>
      <x:c r="B193" t="str">
        <x:v>I° Medio</x:v>
      </x:c>
      <x:c r="C193" t="str">
        <x:v>I D</x:v>
      </x:c>
      <x:c r="D193" t="str">
        <x:v>Cuestionario Aprendizaje Socioemocional</x:v>
      </x:c>
      <x:c r="E193" s="12" t="n">
        <x:v>41</x:v>
      </x:c>
      <x:c r="F193" s="12" t="n">
        <x:v>41</x:v>
      </x:c>
      <x:c r="G193" s="12" t="n">
        <x:v>0</x:v>
      </x:c>
      <x:c r="H193" s="14" t="n">
        <x:f>IF(F193=0,"",G193/F193)</x:f>
        <x:v>0</x:v>
      </x:c>
      <x:c r="I193" t="str">
        <x:v>No</x:v>
      </x:c>
      <x:c r="J193" t="str">
        <x:v>Complete el ingreso de respuestas y/o la corrección de P. de desarrollo</x:v>
      </x:c>
    </x:row>
    <x:row r="194">
      <x:c r="A194" t="str">
        <x:v>Ens. Media</x:v>
      </x:c>
      <x:c r="B194" t="str">
        <x:v>I° Medio</x:v>
      </x:c>
      <x:c r="C194" t="str">
        <x:v>I D</x:v>
      </x:c>
      <x:c r="D194" t="str">
        <x:v>Lectura</x:v>
      </x:c>
      <x:c r="E194" s="12" t="n">
        <x:v>41</x:v>
      </x:c>
      <x:c r="F194" s="12" t="n">
        <x:v>41</x:v>
      </x:c>
      <x:c r="G194" s="12" t="n">
        <x:v>35</x:v>
      </x:c>
      <x:c r="H194" s="14" t="n">
        <x:f>IF(F194=0,"",G194/F194)</x:f>
        <x:v>0.8536585365853658</x:v>
      </x:c>
      <x:c r="I194" t="str">
        <x:v>Sí</x:v>
      </x:c>
      <x:c r="J194" t="str">
        <x:v>Puede descargar el informe del curso en esta área</x:v>
      </x:c>
    </x:row>
    <x:row r="195">
      <x:c r="A195" t="str">
        <x:v>Ens. Media</x:v>
      </x:c>
      <x:c r="B195" t="str">
        <x:v>I° Medio</x:v>
      </x:c>
      <x:c r="C195" t="str">
        <x:v>I D</x:v>
      </x:c>
      <x:c r="D195" t="str">
        <x:v>Matemática</x:v>
      </x:c>
      <x:c r="E195" s="12" t="n">
        <x:v>41</x:v>
      </x:c>
      <x:c r="F195" s="12" t="n">
        <x:v>41</x:v>
      </x:c>
      <x:c r="G195" s="12" t="n">
        <x:v>33</x:v>
      </x:c>
      <x:c r="H195" s="14" t="n">
        <x:f>IF(F195=0,"",G195/F195)</x:f>
        <x:v>0.8048780487804879</x:v>
      </x:c>
      <x:c r="I195" t="str">
        <x:v>Sí</x:v>
      </x:c>
      <x:c r="J195" t="str">
        <x:v>Puede descargar el informe del curso en esta área</x:v>
      </x:c>
    </x:row>
    <x:row r="196">
      <x:c r="A196" t="str">
        <x:v>Ens. Media</x:v>
      </x:c>
      <x:c r="B196" t="str">
        <x:v>I° Medio</x:v>
      </x:c>
      <x:c r="C196" t="str">
        <x:v>I E</x:v>
      </x:c>
      <x:c r="D196" t="str">
        <x:v>Cuestionario Aprendizaje Socioemocional</x:v>
      </x:c>
      <x:c r="E196" s="12" t="n">
        <x:v>42</x:v>
      </x:c>
      <x:c r="F196" s="12" t="n">
        <x:v>42</x:v>
      </x:c>
      <x:c r="G196" s="12" t="n">
        <x:v>39</x:v>
      </x:c>
      <x:c r="H196" s="14" t="n">
        <x:f>IF(F196=0,"",G196/F196)</x:f>
        <x:v>0.9285714285714286</x:v>
      </x:c>
      <x:c r="I196" t="str">
        <x:v>Sí</x:v>
      </x:c>
      <x:c r="J196" t="str">
        <x:v>Puede descargar el informe del curso en esta área</x:v>
      </x:c>
    </x:row>
    <x:row r="197">
      <x:c r="A197" t="str">
        <x:v>Ens. Media</x:v>
      </x:c>
      <x:c r="B197" t="str">
        <x:v>I° Medio</x:v>
      </x:c>
      <x:c r="C197" t="str">
        <x:v>I E</x:v>
      </x:c>
      <x:c r="D197" t="str">
        <x:v>Lectura</x:v>
      </x:c>
      <x:c r="E197" s="12" t="n">
        <x:v>42</x:v>
      </x:c>
      <x:c r="F197" s="12" t="n">
        <x:v>42</x:v>
      </x:c>
      <x:c r="G197" s="12" t="n">
        <x:v>37</x:v>
      </x:c>
      <x:c r="H197" s="14" t="n">
        <x:f>IF(F197=0,"",G197/F197)</x:f>
        <x:v>0.8809523809523809</x:v>
      </x:c>
      <x:c r="I197" t="str">
        <x:v>Sí</x:v>
      </x:c>
      <x:c r="J197" t="str">
        <x:v>Puede descargar el informe del curso en esta área</x:v>
      </x:c>
    </x:row>
    <x:row r="198">
      <x:c r="A198" t="str">
        <x:v>Ens. Media</x:v>
      </x:c>
      <x:c r="B198" t="str">
        <x:v>I° Medio</x:v>
      </x:c>
      <x:c r="C198" t="str">
        <x:v>I E</x:v>
      </x:c>
      <x:c r="D198" t="str">
        <x:v>Matemática</x:v>
      </x:c>
      <x:c r="E198" s="12" t="n">
        <x:v>42</x:v>
      </x:c>
      <x:c r="F198" s="12" t="n">
        <x:v>42</x:v>
      </x:c>
      <x:c r="G198" s="12" t="n">
        <x:v>37</x:v>
      </x:c>
      <x:c r="H198" s="14" t="n">
        <x:f>IF(F198=0,"",G198/F198)</x:f>
        <x:v>0.8809523809523809</x:v>
      </x:c>
      <x:c r="I198" t="str">
        <x:v>Sí</x:v>
      </x:c>
      <x:c r="J198" t="str">
        <x:v>Puede descargar el informe del curso en esta área</x:v>
      </x:c>
    </x:row>
    <x:row r="199">
      <x:c r="A199" t="str">
        <x:v>Ens. Media</x:v>
      </x:c>
      <x:c r="B199" t="str">
        <x:v>I° Medio</x:v>
      </x:c>
      <x:c r="C199" t="str">
        <x:v>I F</x:v>
      </x:c>
      <x:c r="D199" t="str">
        <x:v>Cuestionario Aprendizaje Socioemocional</x:v>
      </x:c>
      <x:c r="E199" s="12" t="n">
        <x:v>41</x:v>
      </x:c>
      <x:c r="F199" s="12" t="n">
        <x:v>39</x:v>
      </x:c>
      <x:c r="G199" s="12" t="n">
        <x:v>33</x:v>
      </x:c>
      <x:c r="H199" s="14" t="n">
        <x:f>IF(F199=0,"",G199/F199)</x:f>
        <x:v>0.8461538461538461</x:v>
      </x:c>
      <x:c r="I199" t="str">
        <x:v>Sí</x:v>
      </x:c>
      <x:c r="J199" t="str">
        <x:v>Puede descargar el informe del curso en esta área</x:v>
      </x:c>
    </x:row>
    <x:row r="200">
      <x:c r="A200" t="str">
        <x:v>Ens. Media</x:v>
      </x:c>
      <x:c r="B200" t="str">
        <x:v>I° Medio</x:v>
      </x:c>
      <x:c r="C200" t="str">
        <x:v>I F</x:v>
      </x:c>
      <x:c r="D200" t="str">
        <x:v>Lectura</x:v>
      </x:c>
      <x:c r="E200" s="12" t="n">
        <x:v>41</x:v>
      </x:c>
      <x:c r="F200" s="12" t="n">
        <x:v>40</x:v>
      </x:c>
      <x:c r="G200" s="12" t="n">
        <x:v>37</x:v>
      </x:c>
      <x:c r="H200" s="14" t="n">
        <x:f>IF(F200=0,"",G200/F200)</x:f>
        <x:v>0.925</x:v>
      </x:c>
      <x:c r="I200" t="str">
        <x:v>Sí</x:v>
      </x:c>
      <x:c r="J200" t="str">
        <x:v>Puede descargar el informe del curso en esta área</x:v>
      </x:c>
    </x:row>
    <x:row r="201">
      <x:c r="A201" t="str">
        <x:v>Ens. Media</x:v>
      </x:c>
      <x:c r="B201" t="str">
        <x:v>I° Medio</x:v>
      </x:c>
      <x:c r="C201" t="str">
        <x:v>I F</x:v>
      </x:c>
      <x:c r="D201" t="str">
        <x:v>Matemática</x:v>
      </x:c>
      <x:c r="E201" s="12" t="n">
        <x:v>41</x:v>
      </x:c>
      <x:c r="F201" s="12" t="n">
        <x:v>40</x:v>
      </x:c>
      <x:c r="G201" s="12" t="n">
        <x:v>39</x:v>
      </x:c>
      <x:c r="H201" s="14" t="n">
        <x:f>IF(F201=0,"",G201/F201)</x:f>
        <x:v>0.975</x:v>
      </x:c>
      <x:c r="I201" t="str">
        <x:v>Sí</x:v>
      </x:c>
      <x:c r="J201" t="str">
        <x:v>Puede descargar el informe del curso en esta área</x:v>
      </x:c>
    </x:row>
    <x:row r="202">
      <x:c r="A202" t="str">
        <x:v>Ens. Media</x:v>
      </x:c>
      <x:c r="B202" t="str">
        <x:v>I° Medio</x:v>
      </x:c>
      <x:c r="C202" t="str">
        <x:v>I G</x:v>
      </x:c>
      <x:c r="D202" t="str">
        <x:v>Cuestionario Aprendizaje Socioemocional</x:v>
      </x:c>
      <x:c r="E202" s="12" t="n">
        <x:v>37</x:v>
      </x:c>
      <x:c r="F202" s="12" t="n">
        <x:v>37</x:v>
      </x:c>
      <x:c r="G202" s="12" t="n">
        <x:v>36</x:v>
      </x:c>
      <x:c r="H202" s="14" t="n">
        <x:f>IF(F202=0,"",G202/F202)</x:f>
        <x:v>0.972972972972973</x:v>
      </x:c>
      <x:c r="I202" t="str">
        <x:v>Sí</x:v>
      </x:c>
      <x:c r="J202" t="str">
        <x:v>Puede descargar el informe del curso en esta área</x:v>
      </x:c>
    </x:row>
    <x:row r="203">
      <x:c r="A203" t="str">
        <x:v>Ens. Media</x:v>
      </x:c>
      <x:c r="B203" t="str">
        <x:v>I° Medio</x:v>
      </x:c>
      <x:c r="C203" t="str">
        <x:v>I G</x:v>
      </x:c>
      <x:c r="D203" t="str">
        <x:v>Lectura</x:v>
      </x:c>
      <x:c r="E203" s="12" t="n">
        <x:v>37</x:v>
      </x:c>
      <x:c r="F203" s="12" t="n">
        <x:v>36</x:v>
      </x:c>
      <x:c r="G203" s="12" t="n">
        <x:v>33</x:v>
      </x:c>
      <x:c r="H203" s="14" t="n">
        <x:f>IF(F203=0,"",G203/F203)</x:f>
        <x:v>0.9166666666666666</x:v>
      </x:c>
      <x:c r="I203" t="str">
        <x:v>Sí</x:v>
      </x:c>
      <x:c r="J203" t="str">
        <x:v>Puede descargar el informe del curso en esta área</x:v>
      </x:c>
    </x:row>
    <x:row r="204">
      <x:c r="A204" t="str">
        <x:v>Ens. Media</x:v>
      </x:c>
      <x:c r="B204" t="str">
        <x:v>I° Medio</x:v>
      </x:c>
      <x:c r="C204" t="str">
        <x:v>I G</x:v>
      </x:c>
      <x:c r="D204" t="str">
        <x:v>Matemática</x:v>
      </x:c>
      <x:c r="E204" s="12" t="n">
        <x:v>37</x:v>
      </x:c>
      <x:c r="F204" s="12" t="n">
        <x:v>37</x:v>
      </x:c>
      <x:c r="G204" s="12" t="n">
        <x:v>33</x:v>
      </x:c>
      <x:c r="H204" s="14" t="n">
        <x:f>IF(F204=0,"",G204/F204)</x:f>
        <x:v>0.8918918918918919</x:v>
      </x:c>
      <x:c r="I204" t="str">
        <x:v>Sí</x:v>
      </x:c>
      <x:c r="J204" t="str">
        <x:v>Puede descargar el informe del curso en esta área</x:v>
      </x:c>
    </x:row>
    <x:row r="205">
      <x:c r="A205" t="str">
        <x:v>Ens. Media</x:v>
      </x:c>
      <x:c r="B205" t="str">
        <x:v>II° Medio</x:v>
      </x:c>
      <x:c r="C205" t="str">
        <x:v>II A</x:v>
      </x:c>
      <x:c r="D205" t="str">
        <x:v>Lectura</x:v>
      </x:c>
      <x:c r="E205" s="12" t="n">
        <x:v>42</x:v>
      </x:c>
      <x:c r="F205" s="12" t="n">
        <x:v>42</x:v>
      </x:c>
      <x:c r="G205" s="12" t="n">
        <x:v>30</x:v>
      </x:c>
      <x:c r="H205" s="14" t="n">
        <x:f>IF(F205=0,"",G205/F205)</x:f>
        <x:v>0.7142857142857143</x:v>
      </x:c>
      <x:c r="I205" t="str">
        <x:v>Sí</x:v>
      </x:c>
      <x:c r="J205" t="str">
        <x:v>Puede descargar el informe del curso en esta área</x:v>
      </x:c>
    </x:row>
    <x:row r="206">
      <x:c r="A206" t="str">
        <x:v>Ens. Media</x:v>
      </x:c>
      <x:c r="B206" t="str">
        <x:v>II° Medio</x:v>
      </x:c>
      <x:c r="C206" t="str">
        <x:v>II A</x:v>
      </x:c>
      <x:c r="D206" t="str">
        <x:v>Matemática</x:v>
      </x:c>
      <x:c r="E206" s="12" t="n">
        <x:v>42</x:v>
      </x:c>
      <x:c r="F206" s="12" t="n">
        <x:v>42</x:v>
      </x:c>
      <x:c r="G206" s="12" t="n">
        <x:v>31</x:v>
      </x:c>
      <x:c r="H206" s="14" t="n">
        <x:f>IF(F206=0,"",G206/F206)</x:f>
        <x:v>0.7380952380952381</x:v>
      </x:c>
      <x:c r="I206" t="str">
        <x:v>Sí</x:v>
      </x:c>
      <x:c r="J206" t="str">
        <x:v>Puede descargar el informe del curso en esta área</x:v>
      </x:c>
    </x:row>
    <x:row r="207">
      <x:c r="A207" t="str">
        <x:v>Ens. Media</x:v>
      </x:c>
      <x:c r="B207" t="str">
        <x:v>II° Medio</x:v>
      </x:c>
      <x:c r="C207" t="str">
        <x:v>II B</x:v>
      </x:c>
      <x:c r="D207" t="str">
        <x:v>Lectura</x:v>
      </x:c>
      <x:c r="E207" s="12" t="n">
        <x:v>37</x:v>
      </x:c>
      <x:c r="F207" s="12" t="n">
        <x:v>37</x:v>
      </x:c>
      <x:c r="G207" s="12" t="n">
        <x:v>27</x:v>
      </x:c>
      <x:c r="H207" s="14" t="n">
        <x:f>IF(F207=0,"",G207/F207)</x:f>
        <x:v>0.7297297297297297</x:v>
      </x:c>
      <x:c r="I207" t="str">
        <x:v>Sí</x:v>
      </x:c>
      <x:c r="J207" t="str">
        <x:v>Puede descargar el informe del curso en esta área</x:v>
      </x:c>
    </x:row>
    <x:row r="208">
      <x:c r="A208" t="str">
        <x:v>Ens. Media</x:v>
      </x:c>
      <x:c r="B208" t="str">
        <x:v>II° Medio</x:v>
      </x:c>
      <x:c r="C208" t="str">
        <x:v>II B</x:v>
      </x:c>
      <x:c r="D208" t="str">
        <x:v>Matemática</x:v>
      </x:c>
      <x:c r="E208" s="12" t="n">
        <x:v>37</x:v>
      </x:c>
      <x:c r="F208" s="12" t="n">
        <x:v>37</x:v>
      </x:c>
      <x:c r="G208" s="12" t="n">
        <x:v>29</x:v>
      </x:c>
      <x:c r="H208" s="14" t="n">
        <x:f>IF(F208=0,"",G208/F208)</x:f>
        <x:v>0.7837837837837838</x:v>
      </x:c>
      <x:c r="I208" t="str">
        <x:v>Sí</x:v>
      </x:c>
      <x:c r="J208" t="str">
        <x:v>Puede descargar el informe del curso en esta área</x:v>
      </x:c>
    </x:row>
    <x:row r="209">
      <x:c r="A209" t="str">
        <x:v>Ens. Media</x:v>
      </x:c>
      <x:c r="B209" t="str">
        <x:v>II° Medio</x:v>
      </x:c>
      <x:c r="C209" t="str">
        <x:v>II C</x:v>
      </x:c>
      <x:c r="D209" t="str">
        <x:v>Lectura</x:v>
      </x:c>
      <x:c r="E209" s="12" t="n">
        <x:v>41</x:v>
      </x:c>
      <x:c r="F209" s="12" t="n">
        <x:v>41</x:v>
      </x:c>
      <x:c r="G209" s="12" t="n">
        <x:v>37</x:v>
      </x:c>
      <x:c r="H209" s="14" t="n">
        <x:f>IF(F209=0,"",G209/F209)</x:f>
        <x:v>0.9024390243902439</x:v>
      </x:c>
      <x:c r="I209" t="str">
        <x:v>Sí</x:v>
      </x:c>
      <x:c r="J209" t="str">
        <x:v>Puede descargar el informe del curso en esta área</x:v>
      </x:c>
    </x:row>
    <x:row r="210">
      <x:c r="A210" t="str">
        <x:v>Ens. Media</x:v>
      </x:c>
      <x:c r="B210" t="str">
        <x:v>II° Medio</x:v>
      </x:c>
      <x:c r="C210" t="str">
        <x:v>II C</x:v>
      </x:c>
      <x:c r="D210" t="str">
        <x:v>Matemática</x:v>
      </x:c>
      <x:c r="E210" s="12" t="n">
        <x:v>41</x:v>
      </x:c>
      <x:c r="F210" s="12" t="n">
        <x:v>39</x:v>
      </x:c>
      <x:c r="G210" s="12" t="n">
        <x:v>36</x:v>
      </x:c>
      <x:c r="H210" s="14" t="n">
        <x:f>IF(F210=0,"",G210/F210)</x:f>
        <x:v>0.9230769230769231</x:v>
      </x:c>
      <x:c r="I210" t="str">
        <x:v>Sí</x:v>
      </x:c>
      <x:c r="J210" t="str">
        <x:v>Puede descargar el informe del curso en esta área</x:v>
      </x:c>
    </x:row>
    <x:row r="211">
      <x:c r="A211" t="str">
        <x:v>Ens. Media</x:v>
      </x:c>
      <x:c r="B211" t="str">
        <x:v>II° Medio</x:v>
      </x:c>
      <x:c r="C211" t="str">
        <x:v>II D</x:v>
      </x:c>
      <x:c r="D211" t="str">
        <x:v>Lectura</x:v>
      </x:c>
      <x:c r="E211" s="12" t="n">
        <x:v>44</x:v>
      </x:c>
      <x:c r="F211" s="12" t="n">
        <x:v>44</x:v>
      </x:c>
      <x:c r="G211" s="12" t="n">
        <x:v>31</x:v>
      </x:c>
      <x:c r="H211" s="14" t="n">
        <x:f>IF(F211=0,"",G211/F211)</x:f>
        <x:v>0.7045454545454546</x:v>
      </x:c>
      <x:c r="I211" t="str">
        <x:v>Sí</x:v>
      </x:c>
      <x:c r="J211" t="str">
        <x:v>Puede descargar el informe del curso en esta área</x:v>
      </x:c>
    </x:row>
    <x:row r="212">
      <x:c r="A212" t="str">
        <x:v>Ens. Media</x:v>
      </x:c>
      <x:c r="B212" t="str">
        <x:v>II° Medio</x:v>
      </x:c>
      <x:c r="C212" t="str">
        <x:v>II D</x:v>
      </x:c>
      <x:c r="D212" t="str">
        <x:v>Matemática</x:v>
      </x:c>
      <x:c r="E212" s="12" t="n">
        <x:v>44</x:v>
      </x:c>
      <x:c r="F212" s="12" t="n">
        <x:v>44</x:v>
      </x:c>
      <x:c r="G212" s="12" t="n">
        <x:v>30</x:v>
      </x:c>
      <x:c r="H212" s="14" t="n">
        <x:f>IF(F212=0,"",G212/F212)</x:f>
        <x:v>0.6818181818181818</x:v>
      </x:c>
      <x:c r="I212" t="str">
        <x:v>Sí</x:v>
      </x:c>
      <x:c r="J212" t="str">
        <x:v>Puede descargar el informe del curso en esta área</x:v>
      </x:c>
    </x:row>
    <x:row r="213">
      <x:c r="A213" t="str">
        <x:v>Ens. Media</x:v>
      </x:c>
      <x:c r="B213" t="str">
        <x:v>II° Medio</x:v>
      </x:c>
      <x:c r="C213" t="str">
        <x:v>II E</x:v>
      </x:c>
      <x:c r="D213" t="str">
        <x:v>Cuestionario Aprendizaje Socioemocional</x:v>
      </x:c>
      <x:c r="E213" s="12" t="n">
        <x:v>40</x:v>
      </x:c>
      <x:c r="F213" s="12" t="n">
        <x:v>38</x:v>
      </x:c>
      <x:c r="G213" s="12" t="n">
        <x:v>33</x:v>
      </x:c>
      <x:c r="H213" s="14" t="n">
        <x:f>IF(F213=0,"",G213/F213)</x:f>
        <x:v>0.868421052631579</x:v>
      </x:c>
      <x:c r="I213" t="str">
        <x:v>Sí</x:v>
      </x:c>
      <x:c r="J213" t="str">
        <x:v>Puede descargar el informe del curso en esta área</x:v>
      </x:c>
    </x:row>
    <x:row r="214">
      <x:c r="A214" t="str">
        <x:v>Ens. Media</x:v>
      </x:c>
      <x:c r="B214" t="str">
        <x:v>II° Medio</x:v>
      </x:c>
      <x:c r="C214" t="str">
        <x:v>II E</x:v>
      </x:c>
      <x:c r="D214" t="str">
        <x:v>Lectura</x:v>
      </x:c>
      <x:c r="E214" s="12" t="n">
        <x:v>40</x:v>
      </x:c>
      <x:c r="F214" s="12" t="n">
        <x:v>40</x:v>
      </x:c>
      <x:c r="G214" s="12" t="n">
        <x:v>37</x:v>
      </x:c>
      <x:c r="H214" s="14" t="n">
        <x:f>IF(F214=0,"",G214/F214)</x:f>
        <x:v>0.925</x:v>
      </x:c>
      <x:c r="I214" t="str">
        <x:v>Sí</x:v>
      </x:c>
      <x:c r="J214" t="str">
        <x:v>Puede descargar el informe del curso en esta área</x:v>
      </x:c>
    </x:row>
    <x:row r="215">
      <x:c r="A215" t="str">
        <x:v>Ens. Media</x:v>
      </x:c>
      <x:c r="B215" t="str">
        <x:v>II° Medio</x:v>
      </x:c>
      <x:c r="C215" t="str">
        <x:v>II E</x:v>
      </x:c>
      <x:c r="D215" t="str">
        <x:v>Matemática</x:v>
      </x:c>
      <x:c r="E215" s="12" t="n">
        <x:v>40</x:v>
      </x:c>
      <x:c r="F215" s="12" t="n">
        <x:v>40</x:v>
      </x:c>
      <x:c r="G215" s="12" t="n">
        <x:v>34</x:v>
      </x:c>
      <x:c r="H215" s="14" t="n">
        <x:f>IF(F215=0,"",G215/F215)</x:f>
        <x:v>0.85</x:v>
      </x:c>
      <x:c r="I215" t="str">
        <x:v>Sí</x:v>
      </x:c>
      <x:c r="J215" t="str">
        <x:v>Puede descargar el informe del curso en esta área</x:v>
      </x:c>
    </x:row>
    <x:row r="216">
      <x:c r="A216" t="str">
        <x:v>Ens. Media</x:v>
      </x:c>
      <x:c r="B216" t="str">
        <x:v>II° Medio</x:v>
      </x:c>
      <x:c r="C216" t="str">
        <x:v>II F</x:v>
      </x:c>
      <x:c r="D216" t="str">
        <x:v>Cuestionario Aprendizaje Socioemocional</x:v>
      </x:c>
      <x:c r="E216" s="12" t="n">
        <x:v>40</x:v>
      </x:c>
      <x:c r="F216" s="12" t="n">
        <x:v>40</x:v>
      </x:c>
      <x:c r="G216" s="12" t="n">
        <x:v>40</x:v>
      </x:c>
      <x:c r="H216" s="14" t="n">
        <x:f>IF(F216=0,"",G216/F216)</x:f>
        <x:v>1</x:v>
      </x:c>
      <x:c r="I216" t="str">
        <x:v>Sí</x:v>
      </x:c>
      <x:c r="J216" t="str">
        <x:v>Puede descargar el informe del curso en esta área</x:v>
      </x:c>
    </x:row>
    <x:row r="217">
      <x:c r="A217" t="str">
        <x:v>Ens. Media</x:v>
      </x:c>
      <x:c r="B217" t="str">
        <x:v>II° Medio</x:v>
      </x:c>
      <x:c r="C217" t="str">
        <x:v>II F</x:v>
      </x:c>
      <x:c r="D217" t="str">
        <x:v>Lectura</x:v>
      </x:c>
      <x:c r="E217" s="12" t="n">
        <x:v>40</x:v>
      </x:c>
      <x:c r="F217" s="12" t="n">
        <x:v>38</x:v>
      </x:c>
      <x:c r="G217" s="12" t="n">
        <x:v>33</x:v>
      </x:c>
      <x:c r="H217" s="14" t="n">
        <x:f>IF(F217=0,"",G217/F217)</x:f>
        <x:v>0.868421052631579</x:v>
      </x:c>
      <x:c r="I217" t="str">
        <x:v>Sí</x:v>
      </x:c>
      <x:c r="J217" t="str">
        <x:v>Puede descargar el informe del curso en esta área</x:v>
      </x:c>
    </x:row>
    <x:row r="218">
      <x:c r="A218" t="str">
        <x:v>Ens. Media</x:v>
      </x:c>
      <x:c r="B218" t="str">
        <x:v>II° Medio</x:v>
      </x:c>
      <x:c r="C218" t="str">
        <x:v>II F</x:v>
      </x:c>
      <x:c r="D218" t="str">
        <x:v>Matemática</x:v>
      </x:c>
      <x:c r="E218" s="12" t="n">
        <x:v>40</x:v>
      </x:c>
      <x:c r="F218" s="12" t="n">
        <x:v>40</x:v>
      </x:c>
      <x:c r="G218" s="12" t="n">
        <x:v>38</x:v>
      </x:c>
      <x:c r="H218" s="14" t="n">
        <x:f>IF(F218=0,"",G218/F218)</x:f>
        <x:v>0.95</x:v>
      </x:c>
      <x:c r="I218" t="str">
        <x:v>Sí</x:v>
      </x:c>
      <x:c r="J218" t="str">
        <x:v>Puede descargar el informe del curso en esta área</x:v>
      </x:c>
    </x:row>
    <x:row r="219">
      <x:c r="A219" t="str">
        <x:v>Ens. Media</x:v>
      </x:c>
      <x:c r="B219" t="str">
        <x:v>II° Medio</x:v>
      </x:c>
      <x:c r="C219" t="str">
        <x:v>II G</x:v>
      </x:c>
      <x:c r="D219" t="str">
        <x:v>Cuestionario Aprendizaje Socioemocional</x:v>
      </x:c>
      <x:c r="E219" s="12" t="n">
        <x:v>40</x:v>
      </x:c>
      <x:c r="F219" s="12" t="n">
        <x:v>38</x:v>
      </x:c>
      <x:c r="G219" s="12" t="n">
        <x:v>33</x:v>
      </x:c>
      <x:c r="H219" s="14" t="n">
        <x:f>IF(F219=0,"",G219/F219)</x:f>
        <x:v>0.868421052631579</x:v>
      </x:c>
      <x:c r="I219" t="str">
        <x:v>Sí</x:v>
      </x:c>
      <x:c r="J219" t="str">
        <x:v>Puede descargar el informe del curso en esta área</x:v>
      </x:c>
    </x:row>
    <x:row r="220">
      <x:c r="A220" t="str">
        <x:v>Ens. Media</x:v>
      </x:c>
      <x:c r="B220" t="str">
        <x:v>II° Medio</x:v>
      </x:c>
      <x:c r="C220" t="str">
        <x:v>II G</x:v>
      </x:c>
      <x:c r="D220" t="str">
        <x:v>Lectura</x:v>
      </x:c>
      <x:c r="E220" s="12" t="n">
        <x:v>40</x:v>
      </x:c>
      <x:c r="F220" s="12" t="n">
        <x:v>39</x:v>
      </x:c>
      <x:c r="G220" s="12" t="n">
        <x:v>32</x:v>
      </x:c>
      <x:c r="H220" s="14" t="n">
        <x:f>IF(F220=0,"",G220/F220)</x:f>
        <x:v>0.8205128205128205</x:v>
      </x:c>
      <x:c r="I220" t="str">
        <x:v>Sí</x:v>
      </x:c>
      <x:c r="J220" t="str">
        <x:v>Puede descargar el informe del curso en esta área</x:v>
      </x:c>
    </x:row>
    <x:row r="221">
      <x:c r="A221" t="str">
        <x:v>Ens. Media</x:v>
      </x:c>
      <x:c r="B221" t="str">
        <x:v>II° Medio</x:v>
      </x:c>
      <x:c r="C221" t="str">
        <x:v>II G</x:v>
      </x:c>
      <x:c r="D221" t="str">
        <x:v>Matemática</x:v>
      </x:c>
      <x:c r="E221" s="12" t="n">
        <x:v>40</x:v>
      </x:c>
      <x:c r="F221" s="12" t="n">
        <x:v>39</x:v>
      </x:c>
      <x:c r="G221" s="12" t="n">
        <x:v>35</x:v>
      </x:c>
      <x:c r="H221" s="14" t="n">
        <x:f>IF(F221=0,"",G221/F221)</x:f>
        <x:v>0.8974358974358975</x:v>
      </x:c>
      <x:c r="I221" t="str">
        <x:v>Sí</x:v>
      </x:c>
      <x:c r="J221" t="str">
        <x:v>Puede descargar el informe del curso en esta área</x:v>
      </x:c>
    </x:row>
  </x:sheetData>
  <x:conditionalFormatting sqref="H2:H221">
    <x:cfRule type="dataBar" priority="1">
      <x:dataBar>
        <x:cfvo type="min"/>
        <x:cfvo type="max"/>
        <x:color rgb="FF0EA5E9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c7cbb2619d841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5" hidden="0" customWidth="1"/>
    <x:col min="3" max="3" width="48" hidden="0" customWidth="1"/>
    <x:col min="4" max="4" width="56" hidden="0" customWidth="1"/>
    <x:col min="5" max="5" width="13" hidden="0" customWidth="1"/>
    <x:col min="6" max="6" width="19" hidden="0" customWidth="1"/>
  </x:cols>
  <x:sheetData>
    <x:row r="1" ht="34" customHeight="1">
      <x:c r="A1" s="17" t="str">
        <x:v>Metodología, fuentes y controles</x:v>
      </x:c>
    </x:row>
    <x:row r="2" ht="28" customHeight="1">
      <x:c r="A2" s="20" t="str">
        <x:v>Documento de trazabilidad del consolidado DIA Monitoreo Intermedio 2026</x:v>
      </x:c>
    </x:row>
    <x:row r="4" ht="26" customHeight="1">
      <x:c r="A4" s="9" t="str">
        <x:v>Elemento</x:v>
      </x:c>
      <x:c r="B4" s="11" t="str">
        <x:v>Detalle</x:v>
      </x:c>
    </x:row>
    <x:row r="5">
      <x:c r="A5" s="73" t="str">
        <x:v>Establecimiento</x:v>
      </x:c>
      <x:c r="B5" s="74" t="str">
        <x:v>Complejo Educacional Maipú</x:v>
      </x:c>
    </x:row>
    <x:row r="6">
      <x:c r="A6" s="73" t="str">
        <x:v>RBD</x:v>
      </x:c>
      <x:c r="B6" s="74" t="n">
        <x:v>9959</x:v>
      </x:c>
    </x:row>
    <x:row r="7">
      <x:c r="A7" s="73" t="str">
        <x:v>Período</x:v>
      </x:c>
      <x:c r="B7" s="74" t="str">
        <x:v>DIA Monitoreo Intermedio 2026</x:v>
      </x:c>
    </x:row>
    <x:row r="8">
      <x:c r="A8" s="73" t="str">
        <x:v>Fecha de las fuentes</x:v>
      </x:c>
      <x:c r="B8" s="74" t="str">
        <x:v>2026-08-28</x:v>
      </x:c>
    </x:row>
    <x:row r="9">
      <x:c r="A9" s="73" t="str">
        <x:v>Archivos XLSX revisados</x:v>
      </x:c>
      <x:c r="B9" s="74" t="n">
        <x:v>110</x:v>
      </x:c>
    </x:row>
    <x:row r="10">
      <x:c r="A10" s="73" t="str">
        <x:v>Registros curso-área</x:v>
      </x:c>
      <x:c r="B10" s="74" t="n">
        <x:v>105</x:v>
      </x:c>
    </x:row>
    <x:row r="11">
      <x:c r="A11" s="73" t="str">
        <x:v>Cursos únicos</x:v>
      </x:c>
      <x:c r="B11" s="74" t="n">
        <x:v>40</x:v>
      </x:c>
    </x:row>
    <x:row r="12">
      <x:c r="A12" s="73" t="str">
        <x:v>Método de cálculo</x:v>
      </x:c>
      <x:c r="B12" s="74" t="str">
        <x:v>Promedio de curso calculado como media de los porcentajes reportados por eje o indicador. En 1° Básico Lectura se transforma L=100 y NL=0. No se publican nombres de estudiantes.</x:v>
      </x:c>
    </x:row>
    <x:row r="13">
      <x:c r="A13" s="73" t="str">
        <x:v>Privacidad</x:v>
      </x:c>
      <x:c r="B13" s="74" t="str">
        <x:v>El consolidado contiene resultados agregados por curso y no incluye nombres de estudiantes.</x:v>
      </x:c>
    </x:row>
    <x:row r="14">
      <x:c r="A14" s="73" t="str">
        <x:v>Diagnóstico comparable</x:v>
      </x:c>
      <x:c r="B14" s="74" t="str">
        <x:v>Se utiliza la base del dashboard diagnóstico 2026; la variación se calcula solo para cursos coincidentes de Lectura y Matemática.</x:v>
      </x:c>
    </x:row>
    <x:row r="15">
      <x:c r="A15" s="73" t="str">
        <x:v>Clasificación</x:v>
      </x:c>
      <x:c r="B15" s="74" t="str">
        <x:v>NL: menos de 50%; PL: 50% a menos de 66,7%; L: 66,7% o más.</x:v>
      </x:c>
    </x:row>
    <x:row r="16">
      <x:c r="A16" s="73" t="str">
        <x:v>Reporte de aplicación</x:v>
      </x:c>
      <x:c r="B16" s="74" t="str">
        <x:v>estado_de_avance_de_la_aplicacion_9959_monitoreo_2026_v2.xlsx</x:v>
      </x:c>
    </x:row>
    <x:row r="19" ht="26" customHeight="1">
      <x:c r="A19" s="83" t="str">
        <x:v>Área</x:v>
      </x:c>
      <x:c r="B19" s="84" t="str">
        <x:v>Curso</x:v>
      </x:c>
      <x:c r="C19" s="84" t="str">
        <x:v>Fuente primaria</x:v>
      </x:c>
      <x:c r="D19" s="84" t="str">
        <x:v>Fuente duplicada</x:v>
      </x:c>
      <x:c r="E19" s="84" t="str">
        <x:v>Coincide N</x:v>
      </x:c>
      <x:c r="F19" s="85" t="str">
        <x:v>Coincide promedio</x:v>
      </x:c>
    </x:row>
    <x:row r="20">
      <x:c r="A20" t="str">
        <x:v>Lectura</x:v>
      </x:c>
      <x:c r="B20" t="str">
        <x:v>I A</x:v>
      </x:c>
      <x:c r="C20" t="str">
        <x:v>LECTURA__I-A (HC-310)__planilla.xlsx</x:v>
      </x:c>
      <x:c r="D20" t="str">
        <x:v>resultados_estudiantes_9959_LECTURA_I_A (HC-310)_monitoreo_2026.xlsx</x:v>
      </x:c>
      <x:c r="E20" s="86" t="b">
        <x:v>1</x:v>
      </x:c>
      <x:c r="F20" s="86" t="b">
        <x:v>1</x:v>
      </x:c>
    </x:row>
    <x:row r="21">
      <x:c r="A21" t="str">
        <x:v>Matemática</x:v>
      </x:c>
      <x:c r="B21" t="str">
        <x:v>I A</x:v>
      </x:c>
      <x:c r="C21" t="str">
        <x:v>MATEMATICA__I-A (HC-310)__planilla.xlsx</x:v>
      </x:c>
      <x:c r="D21" t="str">
        <x:v>resultados_estudiantes_9959_MATEMÁTICA_I_A (HC-310)_monitoreo_2026.xlsx</x:v>
      </x:c>
      <x:c r="E21" s="86" t="b">
        <x:v>1</x:v>
      </x:c>
      <x:c r="F21" s="86" t="b">
        <x:v>1</x:v>
      </x:c>
    </x:row>
    <x:row r="22">
      <x:c r="A22" t="str">
        <x:v>Matemática</x:v>
      </x:c>
      <x:c r="B22" t="str">
        <x:v>I B</x:v>
      </x:c>
      <x:c r="C22" t="str">
        <x:v>MATEMATICA__I-B (HC-310)__planilla.xlsx</x:v>
      </x:c>
      <x:c r="D22" t="str">
        <x:v>resultados_estudiantes_9959_MATEMÁTICA_I_B (HC-310)_monitoreo_2026.xlsx</x:v>
      </x:c>
      <x:c r="E22" s="86" t="b">
        <x:v>1</x:v>
      </x:c>
      <x:c r="F22" s="86" t="b">
        <x:v>1</x:v>
      </x:c>
    </x:row>
  </x:sheetData>
  <x:mergeCells>
    <x:mergeCell ref="A1:F1"/>
    <x:mergeCell ref="A2:F2"/>
  </x:mergeCells>
  <x:pageMargins left="0.7" right="0.7" top="0.75" bottom="0.75" header="0.3" footer="0.3"/>
</x:worksheet>
</file>